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acklog" sheetId="2" state="visible" r:id="rId4"/>
    <sheet name="Schedule" sheetId="3" state="visible" r:id="rId5"/>
    <sheet name="By Course" sheetId="4" state="visible" r:id="rId6"/>
    <sheet name="Progress" sheetId="5" state="visible" r:id="rId7"/>
  </sheets>
  <definedNames>
    <definedName function="false" hidden="true" localSheetId="1" name="_xlnm._FilterDatabase" vbProcedure="false">Backlog!$A$1:$AD$101</definedName>
    <definedName function="false" hidden="true" localSheetId="3" name="_xlnm._FilterDatabase" vbProcedure="false">'By Course'!$A$1:$K$101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<sst xmlns="http://schemas.openxmlformats.org/spreadsheetml/2006/main" count="2836" uniqueCount="870">
  <si>
    <t xml:space="preserve">University physics, explained visually: production backlog (100 videos)</t>
  </si>
  <si>
    <t xml:space="preserve">Built 2026-10-23 from OpenStax University Physics (CC BY 4.0) and the physics channel scan (244 channels, 33,889 videos).</t>
  </si>
  <si>
    <t xml:space="preserve">Courses and sources</t>
  </si>
  <si>
    <t xml:space="preserve">ME = Mechanics (28): OpenStax University Physics Vol. 1, Ch. 2-13.</t>
  </si>
  <si>
    <t xml:space="preserve">WO = Fluids, Oscillations, Waves &amp; Sound (12): Vol. 1, Ch. 14-17.</t>
  </si>
  <si>
    <t xml:space="preserve">TH = Thermodynamics (8): Vol. 2, Ch. 1-4.</t>
  </si>
  <si>
    <t xml:space="preserve">EM = Electricity &amp; Magnetism (24): Vol. 2, Ch. 5-16.</t>
  </si>
  <si>
    <t xml:space="preserve">OP = Optics (8): Vol. 3, Ch. 1-4.</t>
  </si>
  <si>
    <t xml:space="preserve">MP = Modern Physics (10): Vol. 3, Ch. 5-10 (relativity, photons, quantum mechanics, atoms, nuclear).</t>
  </si>
  <si>
    <t xml:space="preserve">MM = Maths methods (6): OpenStax Calculus Vol. 3 (vectors, gradient, divergence/curl, line &amp; surface integrals, Stokes/divergence theorems) and the differential equations of first-year physics.</t>
  </si>
  <si>
    <t xml:space="preserve">XC = cross-course (4): the mechanics and waves anchors and the two 2-hour "explained slowly" sleep compilations.</t>
  </si>
  <si>
    <t xml:space="preserve">All sources are CC BY 4.0, so definitions, formulas, derivations and figures can be adapted with attribution; narration is written fresh.</t>
  </si>
  <si>
    <t xml:space="preserve">Columns</t>
  </si>
  <si>
    <t xml:space="preserve">Format: Explainer (one concept, one animation, 5-8 min: the format of the stale incumbents) / Derivation or worked problem (6-10 min) / Anchor ("ALL of…" compression, made after the course's explainers exist) / Sleep compilation (2 hours, re-narrated slowly from the explainers).</t>
  </si>
  <si>
    <t xml:space="preserve">Target length follows the evidence: the lane-A outliers in the scan are 3-7 minute videos, so explainers are kept short; derivations run a little longer.</t>
  </si>
  <si>
    <t xml:space="preserve">Exam tag: which exam audiences the topic also serves (A-level, IB, AP, KCSE) so titles and descriptions can carry the board name; "University" = first-year university only.</t>
  </si>
  <si>
    <t xml:space="preserve">Demand signal: High = at least 3 small-channel outlier videos (or one at 5x+ its channel) on the raw test AND an age-adjusted signal; Medium = one of the two; Low = comparable videos exist but none outperform.</t>
  </si>
  <si>
    <t xml:space="preserve">Supply age: median age of the outlier videos on the topic. "Stale" (8y+) means the search results are a decade old; 59 of the 100 topics are in this state, which is the gap this channel fills.</t>
  </si>
  <si>
    <t xml:space="preserve">Best evidence: the small-channel video that best shows the topic pulls viewers beyond its channel, with its length. Watch it before scripting; note what it leaves out.</t>
  </si>
  <si>
    <t xml:space="preserve">How the order was chosen</t>
  </si>
  <si>
    <t xml:space="preserve">Weeks 1-8 alternate mechanics and E&amp;M in textbook order, so two playlists grow in prerequisite order on the Manim/Remotion pipeline. Weeks 9-16 rotate mechanics, E&amp;M, waves and thermodynamics. From week 17 optics, modern physics and maths methods join the rotation. Each anchor ("ALL of X") is scheduled immediately after the last explainer it compresses, and each sleep compilation shortly after its anchor, because both are built from the explainers already rendered.</t>
  </si>
  <si>
    <t xml:space="preserve">Three videos a week is the assumed cadence; change the Week formula divisor in the Backlog tab if you plan a different one.</t>
  </si>
  <si>
    <t xml:space="preserve">Status and Publish date (yellow) are yours to edit; the Progress tab counts them.</t>
  </si>
  <si>
    <t xml:space="preserve">Order</t>
  </si>
  <si>
    <t xml:space="preserve">Week</t>
  </si>
  <si>
    <t xml:space="preserve">Phase</t>
  </si>
  <si>
    <t xml:space="preserve">Code</t>
  </si>
  <si>
    <t xml:space="preserve">Course</t>
  </si>
  <si>
    <t xml:space="preserve">Source section (textbook)</t>
  </si>
  <si>
    <t xml:space="preserve">Working title</t>
  </si>
  <si>
    <t xml:space="preserve">Format</t>
  </si>
  <si>
    <t xml:space="preserve">Target length</t>
  </si>
  <si>
    <t xml:space="preserve">Prerequisites</t>
  </si>
  <si>
    <t xml:space="preserve">Exam tag</t>
  </si>
  <si>
    <t xml:space="preserve">Demand signal</t>
  </si>
  <si>
    <t xml:space="preserve">Supply age</t>
  </si>
  <si>
    <t xml:space="preserve">Videos found in scan</t>
  </si>
  <si>
    <t xml:space="preserve">Channels covering</t>
  </si>
  <si>
    <t xml:space="preserve">Small-ch outliers (raw)</t>
  </si>
  <si>
    <t xml:space="preserve">Small-ch outliers (age-adj)</t>
  </si>
  <si>
    <t xml:space="preserve">Best small-ch Views/Subs</t>
  </si>
  <si>
    <t xml:space="preserve">Best small-ch Views/yr/Subs</t>
  </si>
  <si>
    <t xml:space="preserve">Median outlier age (yrs)</t>
  </si>
  <si>
    <t xml:space="preserve">Best evidence: video</t>
  </si>
  <si>
    <t xml:space="preserve">Evidence channel</t>
  </si>
  <si>
    <t xml:space="preserve">Evidence subs</t>
  </si>
  <si>
    <t xml:space="preserve">Evidence views</t>
  </si>
  <si>
    <t xml:space="preserve">Views / Subs</t>
  </si>
  <si>
    <t xml:space="preserve">Evidence age (yrs)</t>
  </si>
  <si>
    <t xml:space="preserve">Evidence URL</t>
  </si>
  <si>
    <t xml:space="preserve">Status</t>
  </si>
  <si>
    <t xml:space="preserve">Publish date</t>
  </si>
  <si>
    <t xml:space="preserve">Notes</t>
  </si>
  <si>
    <t xml:space="preserve">Pending rank (helper)</t>
  </si>
  <si>
    <t xml:space="preserve">Phase 1: mechanics + E&amp;M alternate, textbook order (two playlists)</t>
  </si>
  <si>
    <t xml:space="preserve">ME-01</t>
  </si>
  <si>
    <t xml:space="preserve">Mechanics</t>
  </si>
  <si>
    <t xml:space="preserve">OpenStax University Physics Vol. 1 (CC BY 4.0) Ch.2 Vectors</t>
  </si>
  <si>
    <t xml:space="preserve">Vectors: components, dot and cross product in one animation</t>
  </si>
  <si>
    <t xml:space="preserve">Explainer (one concept, one animation)</t>
  </si>
  <si>
    <t xml:space="preserve">6-8 min</t>
  </si>
  <si>
    <t xml:space="preserve">None</t>
  </si>
  <si>
    <t xml:space="preserve">A-level/IB/AP</t>
  </si>
  <si>
    <t xml:space="preserve">Medium</t>
  </si>
  <si>
    <t xml:space="preserve">Ageing (4-8y)</t>
  </si>
  <si>
    <t xml:space="preserve">Force Vectors and VECTOR COMPONENTS in 11 Minutes! - STATICS</t>
  </si>
  <si>
    <t xml:space="preserve">Less Boring Lectures</t>
  </si>
  <si>
    <t xml:space="preserve">11:33</t>
  </si>
  <si>
    <t xml:space="preserve">https://youtu.be/Gz09VNG5wJc</t>
  </si>
  <si>
    <t xml:space="preserve">Planned</t>
  </si>
  <si>
    <t xml:space="preserve">EM-01</t>
  </si>
  <si>
    <t xml:space="preserve">Electricity &amp; Magnetism</t>
  </si>
  <si>
    <t xml:space="preserve">OpenStax University Physics Vol. 2 (CC BY 4.0) §5.1-5.3 Coulomb's law</t>
  </si>
  <si>
    <t xml:space="preserve">Coulomb's law and superposition: solving multi-charge problems</t>
  </si>
  <si>
    <t xml:space="preserve">Derivation / worked problem</t>
  </si>
  <si>
    <t xml:space="preserve">Stale (median outlier age 8y+)</t>
  </si>
  <si>
    <t xml:space="preserve">Coulomb's Law</t>
  </si>
  <si>
    <t xml:space="preserve">uclaphysicsvideo</t>
  </si>
  <si>
    <t xml:space="preserve">4:17</t>
  </si>
  <si>
    <t xml:space="preserve">https://youtu.be/B5LVoU_a08c</t>
  </si>
  <si>
    <t xml:space="preserve">ME-02</t>
  </si>
  <si>
    <t xml:space="preserve">OpenStax University Physics Vol. 1 (CC BY 4.0) Ch.3 Motion along a straight line</t>
  </si>
  <si>
    <t xml:space="preserve">The kinematic equations: where they come from (not just how to use them)</t>
  </si>
  <si>
    <t xml:space="preserve">A-level/IB/AP/KCSE</t>
  </si>
  <si>
    <t xml:space="preserve">High</t>
  </si>
  <si>
    <t xml:space="preserve">Equations of motion (Higher Physics)</t>
  </si>
  <si>
    <t xml:space="preserve">Mr Smith's Physics online</t>
  </si>
  <si>
    <t xml:space="preserve">9:11</t>
  </si>
  <si>
    <t xml:space="preserve">https://youtu.be/WJN_F3PYp58</t>
  </si>
  <si>
    <t xml:space="preserve">EM-02</t>
  </si>
  <si>
    <t xml:space="preserve">OpenStax University Physics Vol. 2 (CC BY 4.0) §5.4-5.7 Electric field</t>
  </si>
  <si>
    <t xml:space="preserve">The electric field: what it is, and the field of a line and a ring of charge</t>
  </si>
  <si>
    <t xml:space="preserve">7-9 min</t>
  </si>
  <si>
    <t xml:space="preserve">The Electric Field Due to a Line of Charge</t>
  </si>
  <si>
    <t xml:space="preserve">lasseviren1</t>
  </si>
  <si>
    <t xml:space="preserve">10:01</t>
  </si>
  <si>
    <t xml:space="preserve">https://youtu.be/WmZ3G2DWHlg</t>
  </si>
  <si>
    <t xml:space="preserve">ME-03</t>
  </si>
  <si>
    <t xml:space="preserve">OpenStax University Physics Vol. 1 (CC BY 4.0) §3.5 Free fall</t>
  </si>
  <si>
    <t xml:space="preserve">Free fall and the velocity-time graph, visualised</t>
  </si>
  <si>
    <t xml:space="preserve">5-7 min</t>
  </si>
  <si>
    <t xml:space="preserve">Distance (position) to Velocity Time Graph Physics Help</t>
  </si>
  <si>
    <t xml:space="preserve">Physicshelp Canada</t>
  </si>
  <si>
    <t xml:space="preserve">8:08</t>
  </si>
  <si>
    <t xml:space="preserve">https://youtu.be/EZXLkAYjmR0</t>
  </si>
  <si>
    <t xml:space="preserve">EM-03</t>
  </si>
  <si>
    <t xml:space="preserve">OpenStax University Physics Vol. 2 (CC BY 4.0) Ch.6 Gauss's law</t>
  </si>
  <si>
    <t xml:space="preserve">Gauss's law: an intuitive picture, then the sphere, cylinder and plane</t>
  </si>
  <si>
    <t xml:space="preserve">EM-02, MM-03</t>
  </si>
  <si>
    <t xml:space="preserve">Gauss's Law Basics</t>
  </si>
  <si>
    <t xml:space="preserve">https://youtu.be/QNIJC1emss8</t>
  </si>
  <si>
    <t xml:space="preserve">ME-04</t>
  </si>
  <si>
    <t xml:space="preserve">OpenStax University Physics Vol. 1 (CC BY 4.0) §4.3 Projectile motion</t>
  </si>
  <si>
    <t xml:space="preserve">Projectile motion from zero: one method for every question</t>
  </si>
  <si>
    <t xml:space="preserve">Projectile Motion: 3 methods to answer ALL questions!</t>
  </si>
  <si>
    <t xml:space="preserve">That Physics Guy</t>
  </si>
  <si>
    <t xml:space="preserve">15:37</t>
  </si>
  <si>
    <t xml:space="preserve">https://youtu.be/1eRimU5befo</t>
  </si>
  <si>
    <t xml:space="preserve">EM-04</t>
  </si>
  <si>
    <t xml:space="preserve">OpenStax University Physics Vol. 2 (CC BY 4.0) Ch.7 Electric potential</t>
  </si>
  <si>
    <t xml:space="preserve">Electric potential vs potential energy vs voltage: the three things students mix up</t>
  </si>
  <si>
    <t xml:space="preserve">What is an Electric Potential ?</t>
  </si>
  <si>
    <t xml:space="preserve">Physics Made Easy</t>
  </si>
  <si>
    <t xml:space="preserve">8:35</t>
  </si>
  <si>
    <t xml:space="preserve">https://youtu.be/j3GrOKre__0</t>
  </si>
  <si>
    <t xml:space="preserve">ME-05</t>
  </si>
  <si>
    <t xml:space="preserve">OpenStax University Physics Vol. 1 (CC BY 4.0) §4.4 Uniform circular motion</t>
  </si>
  <si>
    <t xml:space="preserve">Why circular motion needs a force: centripetal acceleration derived</t>
  </si>
  <si>
    <t xml:space="preserve">What is Centripetal force?</t>
  </si>
  <si>
    <t xml:space="preserve">Sabins</t>
  </si>
  <si>
    <t xml:space="preserve">6:24</t>
  </si>
  <si>
    <t xml:space="preserve">https://youtu.be/5vtH1uBaoBY</t>
  </si>
  <si>
    <t xml:space="preserve">EM-05</t>
  </si>
  <si>
    <t xml:space="preserve">OpenStax University Physics Vol. 2 (CC BY 4.0) Ch.8 Capacitance</t>
  </si>
  <si>
    <t xml:space="preserve">Capacitors: capacitance, stored energy and dielectrics, derived</t>
  </si>
  <si>
    <t xml:space="preserve">A.C. Circuits : Phasors, Impedance, Fourier Transform, and how Inductors and Capacitors work</t>
  </si>
  <si>
    <t xml:space="preserve">TheSiGuy</t>
  </si>
  <si>
    <t xml:space="preserve">17:23</t>
  </si>
  <si>
    <t xml:space="preserve">https://youtu.be/cy_KI_FiS7I</t>
  </si>
  <si>
    <t xml:space="preserve">ME-06</t>
  </si>
  <si>
    <t xml:space="preserve">OpenStax University Physics Vol. 1 (CC BY 4.0) §4.5 Relative motion</t>
  </si>
  <si>
    <t xml:space="preserve">Relative velocity: the boat, the river and the frame of reference</t>
  </si>
  <si>
    <t xml:space="preserve">Introduction to Relative motion!</t>
  </si>
  <si>
    <t xml:space="preserve">2:04</t>
  </si>
  <si>
    <t xml:space="preserve">https://youtu.be/oKvscIVhelo</t>
  </si>
  <si>
    <t xml:space="preserve">EM-06</t>
  </si>
  <si>
    <t xml:space="preserve">OpenStax University Physics Vol. 2 (CC BY 4.0) Ch.9 Current &amp; resistance</t>
  </si>
  <si>
    <t xml:space="preserve">Current, drift velocity and Ohm's law from the electron's point of view</t>
  </si>
  <si>
    <t xml:space="preserve">Resistors Explained &amp; Ohm's Law Made Simple! | What Are Resistors? &amp; How Do Resistors Work?</t>
  </si>
  <si>
    <t xml:space="preserve">Engineeringness</t>
  </si>
  <si>
    <t xml:space="preserve">4:05</t>
  </si>
  <si>
    <t xml:space="preserve">https://youtu.be/x6jajfprWZo</t>
  </si>
  <si>
    <t xml:space="preserve">ME-07</t>
  </si>
  <si>
    <t xml:space="preserve">OpenStax University Physics Vol. 1 (CC BY 4.0) Ch.5 Newton's laws</t>
  </si>
  <si>
    <t xml:space="preserve">Newton's three laws, properly: what each one actually says</t>
  </si>
  <si>
    <t xml:space="preserve">AP® Physics 1: Forces and Newton's Laws (Unit 2)</t>
  </si>
  <si>
    <t xml:space="preserve">Polychoron Productions</t>
  </si>
  <si>
    <t xml:space="preserve">7:41</t>
  </si>
  <si>
    <t xml:space="preserve">https://youtu.be/4q0KzgCNuyo</t>
  </si>
  <si>
    <t xml:space="preserve">EM-07</t>
  </si>
  <si>
    <t xml:space="preserve">OpenStax University Physics Vol. 2 (CC BY 4.0) §10.3 Kirchhoff's rules</t>
  </si>
  <si>
    <t xml:space="preserve">Kirchhoff's rules: solving any circuit with two equations</t>
  </si>
  <si>
    <t xml:space="preserve">Kirchhoff's Second (Voltage) Law</t>
  </si>
  <si>
    <t xml:space="preserve">Cowen Physics</t>
  </si>
  <si>
    <t xml:space="preserve">4:09</t>
  </si>
  <si>
    <t xml:space="preserve">https://youtu.be/yR8-NX82zOQ</t>
  </si>
  <si>
    <t xml:space="preserve">ME-08</t>
  </si>
  <si>
    <t xml:space="preserve">OpenStax University Physics Vol. 1 (CC BY 4.0) §5.7 Free-body diagrams</t>
  </si>
  <si>
    <t xml:space="preserve">Free-body diagrams: the five-step method that solves any force problem</t>
  </si>
  <si>
    <t xml:space="preserve">High School Physics - Free Body Diagrams</t>
  </si>
  <si>
    <t xml:space="preserve">Dan Fullerton (APlusPhysics)</t>
  </si>
  <si>
    <t xml:space="preserve">10:42</t>
  </si>
  <si>
    <t xml:space="preserve">https://youtu.be/wIoiXgT7IX8</t>
  </si>
  <si>
    <t xml:space="preserve">EM-08</t>
  </si>
  <si>
    <t xml:space="preserve">OpenStax University Physics Vol. 2 (CC BY 4.0) §10.5 RC circuits</t>
  </si>
  <si>
    <t xml:space="preserve">RC circuits: charging and discharging, the differential equation solved visually</t>
  </si>
  <si>
    <t xml:space="preserve">EM-05, EM-07</t>
  </si>
  <si>
    <t xml:space="preserve">Capacitor charging and discharging</t>
  </si>
  <si>
    <t xml:space="preserve">7:05</t>
  </si>
  <si>
    <t xml:space="preserve">https://youtu.be/b_S-Ni5n-2s</t>
  </si>
  <si>
    <t xml:space="preserve">ME-09</t>
  </si>
  <si>
    <t xml:space="preserve">OpenStax University Physics Vol. 1 (CC BY 4.0) §6.1 Inclined planes &amp; pulleys</t>
  </si>
  <si>
    <t xml:space="preserve">Inclined planes and pulleys (Atwood machine), step by step</t>
  </si>
  <si>
    <t xml:space="preserve">Inclined Plane Problems (Ramp Problems)</t>
  </si>
  <si>
    <t xml:space="preserve">9:40</t>
  </si>
  <si>
    <t xml:space="preserve">https://youtu.be/BSF3wZfpkcI</t>
  </si>
  <si>
    <t xml:space="preserve">EM-09</t>
  </si>
  <si>
    <t xml:space="preserve">OpenStax University Physics Vol. 2 (CC BY 4.0) §11.1-11.3 Magnetic force</t>
  </si>
  <si>
    <t xml:space="preserve">The magnetic force on a moving charge and why it does no work</t>
  </si>
  <si>
    <t xml:space="preserve">PHYS 102 | Magnetic Force on Charged Particles</t>
  </si>
  <si>
    <t xml:space="preserve">Professor Hafner</t>
  </si>
  <si>
    <t xml:space="preserve">1:59</t>
  </si>
  <si>
    <t xml:space="preserve">https://youtu.be/orsMYomjwIw</t>
  </si>
  <si>
    <t xml:space="preserve">ME-10</t>
  </si>
  <si>
    <t xml:space="preserve">OpenStax University Physics Vol. 1 (CC BY 4.0) §6.2 Friction</t>
  </si>
  <si>
    <t xml:space="preserve">Friction: static vs kinetic, and why the static value is a maximum</t>
  </si>
  <si>
    <t xml:space="preserve">Clutch Animation Explained | How a Clutch Works | Friction Clutch</t>
  </si>
  <si>
    <t xml:space="preserve">Physics and animation</t>
  </si>
  <si>
    <t xml:space="preserve">4:37</t>
  </si>
  <si>
    <t xml:space="preserve">https://youtu.be/HY_PjmHRxuE</t>
  </si>
  <si>
    <t xml:space="preserve">EM-10</t>
  </si>
  <si>
    <t xml:space="preserve">OpenStax University Physics Vol. 2 (CC BY 4.0) §11.4-11.5 Current loop</t>
  </si>
  <si>
    <t xml:space="preserve">Torque on a current loop in a magnetic field (how a motor works)</t>
  </si>
  <si>
    <t xml:space="preserve">Torque On a Current Carrying loop in Magnetic Field || Animated Video || #easyscience</t>
  </si>
  <si>
    <t xml:space="preserve">Easy Science</t>
  </si>
  <si>
    <t xml:space="preserve">3:52</t>
  </si>
  <si>
    <t xml:space="preserve">https://youtu.be/U7QBSL1nnAA</t>
  </si>
  <si>
    <t xml:space="preserve">ME-11</t>
  </si>
  <si>
    <t xml:space="preserve">OpenStax University Physics Vol. 1 (CC BY 4.0) §6.3 Centripetal force applications</t>
  </si>
  <si>
    <t xml:space="preserve">Banked curves, loops and conical pendulums: centripetal force problems</t>
  </si>
  <si>
    <t xml:space="preserve">ME-05, ME-08</t>
  </si>
  <si>
    <t xml:space="preserve">EM-11</t>
  </si>
  <si>
    <t xml:space="preserve">OpenStax University Physics Vol. 2 (CC BY 4.0) §12.2 Biot-Savart</t>
  </si>
  <si>
    <t xml:space="preserve">The Biot-Savart law: the field of a straight wire and a loop, derived</t>
  </si>
  <si>
    <t xml:space="preserve">EM-09, MM-04</t>
  </si>
  <si>
    <t xml:space="preserve">University</t>
  </si>
  <si>
    <t xml:space="preserve">Law of Biot-Savart</t>
  </si>
  <si>
    <t xml:space="preserve">https://youtu.be/WUpDMi50zPs</t>
  </si>
  <si>
    <t xml:space="preserve">ME-12</t>
  </si>
  <si>
    <t xml:space="preserve">OpenStax University Physics Vol. 1 (CC BY 4.0) §6.4 Drag &amp; terminal velocity</t>
  </si>
  <si>
    <t xml:space="preserve">Drag and terminal velocity: solving the differential equation visually</t>
  </si>
  <si>
    <t xml:space="preserve">A-level/IB</t>
  </si>
  <si>
    <t xml:space="preserve">Terminal velocity experiment (PAG 1.2)</t>
  </si>
  <si>
    <t xml:space="preserve">2:27</t>
  </si>
  <si>
    <t xml:space="preserve">https://youtu.be/AcsrBCEJz-Y</t>
  </si>
  <si>
    <t xml:space="preserve">EM-12</t>
  </si>
  <si>
    <t xml:space="preserve">OpenStax University Physics Vol. 2 (CC BY 4.0) §12.5-12.6 Ampère's law</t>
  </si>
  <si>
    <t xml:space="preserve">Ampère's law: the wire, the solenoid and the toroid</t>
  </si>
  <si>
    <t xml:space="preserve">A-level/IB/University</t>
  </si>
  <si>
    <t xml:space="preserve">Ampere's Law (part 1)</t>
  </si>
  <si>
    <t xml:space="preserve">10:02</t>
  </si>
  <si>
    <t xml:space="preserve">https://youtu.be/ryGzpGpTtIM</t>
  </si>
  <si>
    <t xml:space="preserve">Phase 2: mechanics / E&amp;M / waves / thermo rotation</t>
  </si>
  <si>
    <t xml:space="preserve">ME-13</t>
  </si>
  <si>
    <t xml:space="preserve">OpenStax University Physics Vol. 1 (CC BY 4.0) Ch.7 Work and kinetic energy</t>
  </si>
  <si>
    <t xml:space="preserve">Work and the work-energy theorem, derived from F = ma</t>
  </si>
  <si>
    <t xml:space="preserve">How to convert % Momentum into % Kinetic Energy/ Easy Trick.</t>
  </si>
  <si>
    <t xml:space="preserve">Seek the Secret</t>
  </si>
  <si>
    <t xml:space="preserve">3:01</t>
  </si>
  <si>
    <t xml:space="preserve">https://youtu.be/sMnbx4dYlHY</t>
  </si>
  <si>
    <t xml:space="preserve">EM-13</t>
  </si>
  <si>
    <t xml:space="preserve">OpenStax University Physics Vol. 2 (CC BY 4.0) §13.1-13.3 Faraday &amp; Lenz</t>
  </si>
  <si>
    <t xml:space="preserve">Faraday's law and Lenz's law: electromagnetic induction in one animation</t>
  </si>
  <si>
    <t xml:space="preserve">Electric Generator Lenz's Law Part 1 Left or Right Hand Rule Physics Lesson</t>
  </si>
  <si>
    <t xml:space="preserve">5:03</t>
  </si>
  <si>
    <t xml:space="preserve">https://youtu.be/8FXPmYGIOs4</t>
  </si>
  <si>
    <t xml:space="preserve">WO-01</t>
  </si>
  <si>
    <t xml:space="preserve">Fluids, Oscillations, Waves &amp; Sound</t>
  </si>
  <si>
    <t xml:space="preserve">OpenStax University Physics Vol. 1 (CC BY 4.0) §14.1-14.4 Pressure &amp; buoyancy</t>
  </si>
  <si>
    <t xml:space="preserve">Archimedes' principle: the buoyant force derived, not memorised</t>
  </si>
  <si>
    <t xml:space="preserve">Understanding Archimedes' principle</t>
  </si>
  <si>
    <t xml:space="preserve">5:14</t>
  </si>
  <si>
    <t xml:space="preserve">https://youtu.be/XfkJ7wBT-PA</t>
  </si>
  <si>
    <t xml:space="preserve">TH-01</t>
  </si>
  <si>
    <t xml:space="preserve">Thermodynamics</t>
  </si>
  <si>
    <t xml:space="preserve">OpenStax University Physics Vol. 2 (CC BY 4.0) §1.6 Heat transfer</t>
  </si>
  <si>
    <t xml:space="preserve">Conduction, convection and radiation: the three heat-transfer equations</t>
  </si>
  <si>
    <t xml:space="preserve">Physics - Energy - Heat Transfer - Convection</t>
  </si>
  <si>
    <t xml:space="preserve">Ace Physics and Maths</t>
  </si>
  <si>
    <t xml:space="preserve">2:08</t>
  </si>
  <si>
    <t xml:space="preserve">https://youtu.be/VxGIiOTuAIs</t>
  </si>
  <si>
    <t xml:space="preserve">ME-14</t>
  </si>
  <si>
    <t xml:space="preserve">OpenStax University Physics Vol. 1 (CC BY 4.0) Ch.8 Potential energy &amp; conservation</t>
  </si>
  <si>
    <t xml:space="preserve">Conservation of energy: the method that skips the forces entirely</t>
  </si>
  <si>
    <t xml:space="preserve">Deriving The Formula For Gravitational Potential Energy</t>
  </si>
  <si>
    <t xml:space="preserve">The Brain Filler</t>
  </si>
  <si>
    <t xml:space="preserve">4:16</t>
  </si>
  <si>
    <t xml:space="preserve">https://youtu.be/PxF7gDcaM6I</t>
  </si>
  <si>
    <t xml:space="preserve">EM-14</t>
  </si>
  <si>
    <t xml:space="preserve">OpenStax University Physics Vol. 2 (CC BY 4.0) §13.4 Motional emf</t>
  </si>
  <si>
    <t xml:space="preserve">Motional emf: the sliding rod, derived two ways</t>
  </si>
  <si>
    <t xml:space="preserve">Motional EMF As an Application of Faraday's Law</t>
  </si>
  <si>
    <t xml:space="preserve">9:55</t>
  </si>
  <si>
    <t xml:space="preserve">https://youtu.be/Wgtw5lPKFXI</t>
  </si>
  <si>
    <t xml:space="preserve">WO-02</t>
  </si>
  <si>
    <t xml:space="preserve">OpenStax University Physics Vol. 1 (CC BY 4.0) §14.5-14.6 Bernoulli</t>
  </si>
  <si>
    <t xml:space="preserve">Bernoulli's principle: what it really says (and what the aeroplane myth gets wrong)</t>
  </si>
  <si>
    <t xml:space="preserve">Bernoulli's principle</t>
  </si>
  <si>
    <t xml:space="preserve">GetAClass - Physics</t>
  </si>
  <si>
    <t xml:space="preserve">5:40</t>
  </si>
  <si>
    <t xml:space="preserve">https://youtu.be/eKEorBipbO8</t>
  </si>
  <si>
    <t xml:space="preserve">TH-02</t>
  </si>
  <si>
    <t xml:space="preserve">OpenStax University Physics Vol. 2 (CC BY 4.0) Ch.2 Kinetic theory</t>
  </si>
  <si>
    <t xml:space="preserve">Kinetic theory: deriving pressure and temperature from bouncing molecules</t>
  </si>
  <si>
    <t xml:space="preserve">ME-16</t>
  </si>
  <si>
    <t xml:space="preserve">Quantitative Description of Isothermal (Constant Temperature) Process with Ideal Gas on P-V Diagram</t>
  </si>
  <si>
    <t xml:space="preserve">Elucyda</t>
  </si>
  <si>
    <t xml:space="preserve">10:23</t>
  </si>
  <si>
    <t xml:space="preserve">https://youtu.be/kvYFNs6In6Y</t>
  </si>
  <si>
    <t xml:space="preserve">ME-15</t>
  </si>
  <si>
    <t xml:space="preserve">OpenStax University Physics Vol. 1 (CC BY 4.0) §8.4 Potential energy diagrams</t>
  </si>
  <si>
    <t xml:space="preserve">Potential energy diagrams: reading stability off a curve</t>
  </si>
  <si>
    <t xml:space="preserve">Low</t>
  </si>
  <si>
    <t xml:space="preserve">-</t>
  </si>
  <si>
    <t xml:space="preserve">Understanding potential energy diagrams - Physics</t>
  </si>
  <si>
    <t xml:space="preserve">Brief Physics</t>
  </si>
  <si>
    <t xml:space="preserve">13:07</t>
  </si>
  <si>
    <t xml:space="preserve">https://youtu.be/2fkkWihW2Uk</t>
  </si>
  <si>
    <t xml:space="preserve">EM-15</t>
  </si>
  <si>
    <t xml:space="preserve">OpenStax University Physics Vol. 2 (CC BY 4.0) §13.6-13.7 Eddy currents &amp; generators</t>
  </si>
  <si>
    <t xml:space="preserve">Generators, back emf and eddy currents: induction in the real world</t>
  </si>
  <si>
    <t xml:space="preserve">A-level/IB/KCSE</t>
  </si>
  <si>
    <t xml:space="preserve">WO-03</t>
  </si>
  <si>
    <t xml:space="preserve">OpenStax University Physics Vol. 1 (CC BY 4.0) §14.7 Viscosity &amp; turbulence</t>
  </si>
  <si>
    <t xml:space="preserve">Viscosity, Reynolds number and the onset of turbulence</t>
  </si>
  <si>
    <t xml:space="preserve">Description and Derivation of the Navier-Stokes Equations</t>
  </si>
  <si>
    <t xml:space="preserve">LearnMechE</t>
  </si>
  <si>
    <t xml:space="preserve">11:18</t>
  </si>
  <si>
    <t xml:space="preserve">https://youtu.be/NjoMoH51UZc</t>
  </si>
  <si>
    <t xml:space="preserve">TH-03</t>
  </si>
  <si>
    <t xml:space="preserve">OpenStax University Physics Vol. 2 (CC BY 4.0) §2.4 Maxwell-Boltzmann</t>
  </si>
  <si>
    <t xml:space="preserve">The Maxwell-Boltzmann distribution: where the curve comes from</t>
  </si>
  <si>
    <t xml:space="preserve">A-level/University</t>
  </si>
  <si>
    <t xml:space="preserve">Statistical Physics - The Boltzmann Distribution</t>
  </si>
  <si>
    <t xml:space="preserve">Pazzy Boardman</t>
  </si>
  <si>
    <t xml:space="preserve">35:30</t>
  </si>
  <si>
    <t xml:space="preserve">https://youtu.be/guL3KKLsqsw</t>
  </si>
  <si>
    <t xml:space="preserve">OpenStax University Physics Vol. 1 (CC BY 4.0) Ch.9 Momentum &amp; impulse</t>
  </si>
  <si>
    <t xml:space="preserve">Momentum and impulse: why airbags work (F Δt = Δp)</t>
  </si>
  <si>
    <t xml:space="preserve">Collisions and Momentum Conservation</t>
  </si>
  <si>
    <t xml:space="preserve">James Dann, Ph.D.</t>
  </si>
  <si>
    <t xml:space="preserve">5:59</t>
  </si>
  <si>
    <t xml:space="preserve">https://youtu.be/HdjxMw9bumI</t>
  </si>
  <si>
    <t xml:space="preserve">EM-16</t>
  </si>
  <si>
    <t xml:space="preserve">OpenStax University Physics Vol. 2 (CC BY 4.0) Ch.14 Inductance</t>
  </si>
  <si>
    <t xml:space="preserve">Inductance: self-inductance, the RL circuit and energy in a magnetic field</t>
  </si>
  <si>
    <t xml:space="preserve">Understanding Inductors!</t>
  </si>
  <si>
    <t xml:space="preserve">4:24</t>
  </si>
  <si>
    <t xml:space="preserve">https://youtu.be/d73e3QiMdSU</t>
  </si>
  <si>
    <t xml:space="preserve">WO-04</t>
  </si>
  <si>
    <t xml:space="preserve">OpenStax University Physics Vol. 1 (CC BY 4.0) §15.1-15.2 Simple harmonic motion</t>
  </si>
  <si>
    <t xml:space="preserve">Simple harmonic motion: the general equation, derived and animated</t>
  </si>
  <si>
    <t xml:space="preserve">Introduction to Simple Harmonic Motion (SHM) | General Equation and Derivation</t>
  </si>
  <si>
    <t xml:space="preserve">Physix Daily</t>
  </si>
  <si>
    <t xml:space="preserve">6:46</t>
  </si>
  <si>
    <t xml:space="preserve">https://youtu.be/8bTvHbrJ8Cg</t>
  </si>
  <si>
    <t xml:space="preserve">TH-04</t>
  </si>
  <si>
    <t xml:space="preserve">OpenStax University Physics Vol. 2 (CC BY 4.0) Ch.3 First law</t>
  </si>
  <si>
    <t xml:space="preserve">The first law of thermodynamics and the four named processes on a PV diagram</t>
  </si>
  <si>
    <t xml:space="preserve">FIRST LAW OF THERMODYNAMICS | Easy and Short</t>
  </si>
  <si>
    <t xml:space="preserve">EarthPen</t>
  </si>
  <si>
    <t xml:space="preserve">2:09</t>
  </si>
  <si>
    <t xml:space="preserve">https://youtu.be/Bz6vexpZItw</t>
  </si>
  <si>
    <t xml:space="preserve">ME-17</t>
  </si>
  <si>
    <t xml:space="preserve">OpenStax University Physics Vol. 1 (CC BY 4.0) §9.4-9.6 Collisions</t>
  </si>
  <si>
    <t xml:space="preserve">Elastic vs inelastic collisions in 1D and 2D: one method</t>
  </si>
  <si>
    <t xml:space="preserve">EM-17</t>
  </si>
  <si>
    <t xml:space="preserve">OpenStax University Physics Vol. 2 (CC BY 4.0) §14.5-14.6 LC &amp; RLC</t>
  </si>
  <si>
    <t xml:space="preserve">LC oscillations: a circuit that behaves exactly like a mass on a spring</t>
  </si>
  <si>
    <t xml:space="preserve">EM-16, WO-04</t>
  </si>
  <si>
    <t xml:space="preserve">The LC Circuit</t>
  </si>
  <si>
    <t xml:space="preserve">10:18</t>
  </si>
  <si>
    <t xml:space="preserve">https://youtu.be/v3-HwZMThzQ</t>
  </si>
  <si>
    <t xml:space="preserve">WO-05</t>
  </si>
  <si>
    <t xml:space="preserve">OpenStax University Physics Vol. 1 (CC BY 4.0) §15.3 SHM &amp; circular motion</t>
  </si>
  <si>
    <t xml:space="preserve">Why SHM is the shadow of circular motion (phasors explained)</t>
  </si>
  <si>
    <t xml:space="preserve">Introduction to Phasors, Impedance, and AC Circuits</t>
  </si>
  <si>
    <t xml:space="preserve">Charles Clayton</t>
  </si>
  <si>
    <t xml:space="preserve">3:53</t>
  </si>
  <si>
    <t xml:space="preserve">https://youtu.be/ZSDpIpnlTbY</t>
  </si>
  <si>
    <t xml:space="preserve">TH-05</t>
  </si>
  <si>
    <t xml:space="preserve">OpenStax University Physics Vol. 2 (CC BY 4.0) §3.5 Heat capacities</t>
  </si>
  <si>
    <t xml:space="preserve">Why Cp is bigger than Cv (and the equipartition theorem)</t>
  </si>
  <si>
    <t xml:space="preserve">Specific Heat and Latent Heat</t>
  </si>
  <si>
    <t xml:space="preserve">Jennifer Cash</t>
  </si>
  <si>
    <t xml:space="preserve">4:30</t>
  </si>
  <si>
    <t xml:space="preserve">https://youtu.be/AVYbTI73wSU</t>
  </si>
  <si>
    <t xml:space="preserve">ME-18</t>
  </si>
  <si>
    <t xml:space="preserve">OpenStax University Physics Vol. 1 (CC BY 4.0) §9.6 Centre of mass</t>
  </si>
  <si>
    <t xml:space="preserve">Centre of mass: why the system moves as if it were one particle</t>
  </si>
  <si>
    <t xml:space="preserve">Center of Mass Demo</t>
  </si>
  <si>
    <t xml:space="preserve">Astronomy 1101: From Planets to the Cosmos Online</t>
  </si>
  <si>
    <t xml:space="preserve">3:07</t>
  </si>
  <si>
    <t xml:space="preserve">https://youtu.be/OcI2GPB4y6A</t>
  </si>
  <si>
    <t xml:space="preserve">EM-18</t>
  </si>
  <si>
    <t xml:space="preserve">OpenStax University Physics Vol. 2 (CC BY 4.0) Ch.15 AC circuits</t>
  </si>
  <si>
    <t xml:space="preserve">AC circuits: impedance, phasors and resonance without the panic</t>
  </si>
  <si>
    <t xml:space="preserve">8-10 min</t>
  </si>
  <si>
    <t xml:space="preserve">WO-06</t>
  </si>
  <si>
    <t xml:space="preserve">OpenStax University Physics Vol. 1 (CC BY 4.0) §15.4 Pendulums</t>
  </si>
  <si>
    <t xml:space="preserve">The pendulum: period, the small-angle approximation and when it fails</t>
  </si>
  <si>
    <t xml:space="preserve">Coupled pendulum animation | ManimCE</t>
  </si>
  <si>
    <t xml:space="preserve">Radiium</t>
  </si>
  <si>
    <t xml:space="preserve">1:02</t>
  </si>
  <si>
    <t xml:space="preserve">https://youtu.be/-5sZk8FTVag</t>
  </si>
  <si>
    <t xml:space="preserve">TH-06</t>
  </si>
  <si>
    <t xml:space="preserve">OpenStax University Physics Vol. 2 (CC BY 4.0) §4.5 Carnot cycle</t>
  </si>
  <si>
    <t xml:space="preserve">The Carnot cycle and the maximum efficiency of any engine</t>
  </si>
  <si>
    <t xml:space="preserve">Carnot Cycle - An Ideal Heat Engine</t>
  </si>
  <si>
    <t xml:space="preserve">Fizică</t>
  </si>
  <si>
    <t xml:space="preserve">4:40</t>
  </si>
  <si>
    <t xml:space="preserve">https://youtu.be/NasmLQOf30s</t>
  </si>
  <si>
    <t xml:space="preserve">Phase 3: optics, modern physics and maths methods join; anchors as courses complete</t>
  </si>
  <si>
    <t xml:space="preserve">ME-19</t>
  </si>
  <si>
    <t xml:space="preserve">OpenStax University Physics Vol. 1 (CC BY 4.0) §9.7 Rocket propulsion</t>
  </si>
  <si>
    <t xml:space="preserve">The rocket equation, derived from momentum conservation</t>
  </si>
  <si>
    <t xml:space="preserve">Understanding rocket propulsion - Physics</t>
  </si>
  <si>
    <t xml:space="preserve">13:20</t>
  </si>
  <si>
    <t xml:space="preserve">https://youtu.be/CrWSFL01qV0</t>
  </si>
  <si>
    <t xml:space="preserve">EM-19</t>
  </si>
  <si>
    <t xml:space="preserve">OpenStax University Physics Vol. 2 (CC BY 4.0) §15.6 Transformers</t>
  </si>
  <si>
    <t xml:space="preserve">How a transformer works (and why the grid runs on AC)</t>
  </si>
  <si>
    <t xml:space="preserve">Transformers explained</t>
  </si>
  <si>
    <t xml:space="preserve">5:41</t>
  </si>
  <si>
    <t xml:space="preserve">https://youtu.be/b6uru1lYUeI</t>
  </si>
  <si>
    <t xml:space="preserve">WO-07</t>
  </si>
  <si>
    <t xml:space="preserve">OpenStax University Physics Vol. 1 (CC BY 4.0) §15.5 Damped oscillations</t>
  </si>
  <si>
    <t xml:space="preserve">Damped oscillations: under-, over- and critically damped, visualised</t>
  </si>
  <si>
    <t xml:space="preserve">Damped Oscillatory Motion</t>
  </si>
  <si>
    <t xml:space="preserve">Rebecca Koehler</t>
  </si>
  <si>
    <t xml:space="preserve">2:57</t>
  </si>
  <si>
    <t xml:space="preserve">https://youtu.be/sP1DzhT8Vzo</t>
  </si>
  <si>
    <t xml:space="preserve">TH-07</t>
  </si>
  <si>
    <t xml:space="preserve">OpenStax University Physics Vol. 2 (CC BY 4.0) §4.7-4.8 Entropy</t>
  </si>
  <si>
    <t xml:space="preserve">Entropy: from dQ/T to counting microstates (S = k ln W)</t>
  </si>
  <si>
    <t xml:space="preserve">How Entropy Was Discovered</t>
  </si>
  <si>
    <t xml:space="preserve">Abide By Reason</t>
  </si>
  <si>
    <t xml:space="preserve">20:14</t>
  </si>
  <si>
    <t xml:space="preserve">https://youtu.be/WI0ZLkxJ6Zk</t>
  </si>
  <si>
    <t xml:space="preserve">TH-08</t>
  </si>
  <si>
    <t xml:space="preserve">OpenStax University Physics Vol. 2 (CC BY 4.0) Ch.1-4 (whole)</t>
  </si>
  <si>
    <t xml:space="preserve">ALL of Thermodynamics in 12 minutes</t>
  </si>
  <si>
    <t xml:space="preserve">Anchor (ALL of…)</t>
  </si>
  <si>
    <t xml:space="preserve">12 min</t>
  </si>
  <si>
    <t xml:space="preserve">TH-01…TH-07</t>
  </si>
  <si>
    <t xml:space="preserve">Fresh (&lt;4y)</t>
  </si>
  <si>
    <t xml:space="preserve">All of Thermodynamics Explained in 11 Minutes</t>
  </si>
  <si>
    <t xml:space="preserve">Easy Explained 2.0</t>
  </si>
  <si>
    <t xml:space="preserve">11:39</t>
  </si>
  <si>
    <t xml:space="preserve">https://youtu.be/0a8gjbn33rM</t>
  </si>
  <si>
    <t xml:space="preserve">OP-01</t>
  </si>
  <si>
    <t xml:space="preserve">Optics</t>
  </si>
  <si>
    <t xml:space="preserve">OpenStax University Physics Vol. 3 (CC BY 4.0) §1.3-1.4 Refraction</t>
  </si>
  <si>
    <t xml:space="preserve">Snell's law and total internal reflection (how optical fibre works)</t>
  </si>
  <si>
    <t xml:space="preserve">WO-09</t>
  </si>
  <si>
    <t xml:space="preserve">Total Internal Reflection Demo: Optical Fibers</t>
  </si>
  <si>
    <t xml:space="preserve">Physics Demos</t>
  </si>
  <si>
    <t xml:space="preserve">2:21</t>
  </si>
  <si>
    <t xml:space="preserve">https://youtu.be/Lic3gCS_bKo</t>
  </si>
  <si>
    <t xml:space="preserve">MP-01</t>
  </si>
  <si>
    <t xml:space="preserve">Modern Physics (relativity, quantum, nuclear)</t>
  </si>
  <si>
    <t xml:space="preserve">OpenStax University Physics Vol. 3 (CC BY 4.0) §5.1-5.4 Special relativity I</t>
  </si>
  <si>
    <t xml:space="preserve">Time dilation and length contraction from two postulates (the light clock)</t>
  </si>
  <si>
    <t xml:space="preserve">Time Dilation Example Problem</t>
  </si>
  <si>
    <t xml:space="preserve">3:39</t>
  </si>
  <si>
    <t xml:space="preserve">https://youtu.be/SchfetsZysM</t>
  </si>
  <si>
    <t xml:space="preserve">MM-01</t>
  </si>
  <si>
    <t xml:space="preserve">Maths methods for physics</t>
  </si>
  <si>
    <t xml:space="preserve">OpenStax Calculus Vol. 3 Ch.2 Vectors in space (CC BY 4.0)</t>
  </si>
  <si>
    <t xml:space="preserve">Vectors, scalars and tensors: what a tensor actually is</t>
  </si>
  <si>
    <t xml:space="preserve">What's a Tensor?</t>
  </si>
  <si>
    <t xml:space="preserve">Dan Fleisch</t>
  </si>
  <si>
    <t xml:space="preserve">12:21</t>
  </si>
  <si>
    <t xml:space="preserve">https://youtu.be/f5liqUk0ZTw</t>
  </si>
  <si>
    <t xml:space="preserve">ME-20</t>
  </si>
  <si>
    <t xml:space="preserve">OpenStax University Physics Vol. 1 (CC BY 4.0) §10.1-10.4 Rotational kinematics</t>
  </si>
  <si>
    <t xml:space="preserve">Rotational kinematics: every linear equation has a rotational twin</t>
  </si>
  <si>
    <t xml:space="preserve">Rotational Kinematics</t>
  </si>
  <si>
    <t xml:space="preserve">9:57</t>
  </si>
  <si>
    <t xml:space="preserve">https://youtu.be/MKhxRE2apWI</t>
  </si>
  <si>
    <t xml:space="preserve">ME-21</t>
  </si>
  <si>
    <t xml:space="preserve">OpenStax University Physics Vol. 1 (CC BY 4.0) §10.5 Moment of inertia</t>
  </si>
  <si>
    <t xml:space="preserve">Moment of inertia: what it is and how to calculate it for any shape</t>
  </si>
  <si>
    <t xml:space="preserve">Moment of Inertia Explained</t>
  </si>
  <si>
    <t xml:space="preserve">3:44</t>
  </si>
  <si>
    <t xml:space="preserve">https://youtu.be/uyU25DdONjo</t>
  </si>
  <si>
    <t xml:space="preserve">EM-20</t>
  </si>
  <si>
    <t xml:space="preserve">OpenStax University Physics Vol. 2 (CC BY 4.0) §16.1 Maxwell's equations</t>
  </si>
  <si>
    <t xml:space="preserve">Maxwell's four equations, explained one picture at a time</t>
  </si>
  <si>
    <t xml:space="preserve">EM-03, EM-12, EM-13, MM-04</t>
  </si>
  <si>
    <t xml:space="preserve">Nobody Explained Maxwell's Equations Like THIS!</t>
  </si>
  <si>
    <t xml:space="preserve">Animated Physics</t>
  </si>
  <si>
    <t xml:space="preserve">19:27</t>
  </si>
  <si>
    <t xml:space="preserve">https://youtu.be/yGWEuxaaMNw</t>
  </si>
  <si>
    <t xml:space="preserve">WO-08</t>
  </si>
  <si>
    <t xml:space="preserve">OpenStax University Physics Vol. 1 (CC BY 4.0) §15.6 Forced oscillations &amp; resonance</t>
  </si>
  <si>
    <t xml:space="preserve">Resonance: forced oscillations and why the bridge fell</t>
  </si>
  <si>
    <t xml:space="preserve">What is resonance in physics?</t>
  </si>
  <si>
    <t xml:space="preserve">PhysicsHigh</t>
  </si>
  <si>
    <t xml:space="preserve">6:08</t>
  </si>
  <si>
    <t xml:space="preserve">https://youtu.be/ATRzwhk7UvY</t>
  </si>
  <si>
    <t xml:space="preserve">OP-02</t>
  </si>
  <si>
    <t xml:space="preserve">OpenStax University Physics Vol. 3 (CC BY 4.0) §1.7 Polarisation</t>
  </si>
  <si>
    <t xml:space="preserve">Polarisation and Malus's law: why sunglasses kill glare</t>
  </si>
  <si>
    <t xml:space="preserve">EM-21</t>
  </si>
  <si>
    <t xml:space="preserve">Malus' law</t>
  </si>
  <si>
    <t xml:space="preserve">3:55</t>
  </si>
  <si>
    <t xml:space="preserve">https://youtu.be/utY72MD-Ii4</t>
  </si>
  <si>
    <t xml:space="preserve">MP-02</t>
  </si>
  <si>
    <t xml:space="preserve">OpenStax University Physics Vol. 3 (CC BY 4.0) §5.5-5.6 Lorentz transformation</t>
  </si>
  <si>
    <t xml:space="preserve">The Lorentz transformation, derived, and the spacetime diagram</t>
  </si>
  <si>
    <t xml:space="preserve">Lorentz Transformation</t>
  </si>
  <si>
    <t xml:space="preserve">MIT's Experimental Study Group</t>
  </si>
  <si>
    <t xml:space="preserve">8:55</t>
  </si>
  <si>
    <t xml:space="preserve">https://youtu.be/sbNEtMUjiMU</t>
  </si>
  <si>
    <t xml:space="preserve">MM-02</t>
  </si>
  <si>
    <t xml:space="preserve">OpenStax Calculus Vol. 3 Ch.4 Differentiation of functions of several variables</t>
  </si>
  <si>
    <t xml:space="preserve">Partial derivatives and the gradient: the direction of steepest ascent</t>
  </si>
  <si>
    <t xml:space="preserve">Gradient, Divergence and Curl</t>
  </si>
  <si>
    <t xml:space="preserve">Reumi's world</t>
  </si>
  <si>
    <t xml:space="preserve">15:28</t>
  </si>
  <si>
    <t xml:space="preserve">https://youtu.be/AMQ6VeXV278</t>
  </si>
  <si>
    <t xml:space="preserve">ME-22</t>
  </si>
  <si>
    <t xml:space="preserve">OpenStax University Physics Vol. 1 (CC BY 4.0) §10.6-10.7 Torque</t>
  </si>
  <si>
    <t xml:space="preserve">Torque and the rotational form of Newton's second law</t>
  </si>
  <si>
    <t xml:space="preserve">More on moment of inertia | Moments, torque, and angular momentum | Physics | Khan Academy</t>
  </si>
  <si>
    <t xml:space="preserve">Khan Academy Physics</t>
  </si>
  <si>
    <t xml:space="preserve">14:59</t>
  </si>
  <si>
    <t xml:space="preserve">https://youtu.be/lwO0V5FitAo</t>
  </si>
  <si>
    <t xml:space="preserve">ME-23</t>
  </si>
  <si>
    <t xml:space="preserve">OpenStax University Physics Vol. 1 (CC BY 4.0) §11.1 Rolling motion</t>
  </si>
  <si>
    <t xml:space="preserve">Rolling without slipping: why a hoop loses the race to a sphere</t>
  </si>
  <si>
    <t xml:space="preserve">Rolling motion animation | ManimCE</t>
  </si>
  <si>
    <t xml:space="preserve">1:03</t>
  </si>
  <si>
    <t xml:space="preserve">https://youtu.be/PWvIYU_Z8z8</t>
  </si>
  <si>
    <t xml:space="preserve">OpenStax University Physics Vol. 2 (CC BY 4.0) §16.2 EM waves</t>
  </si>
  <si>
    <t xml:space="preserve">How Maxwell's equations predict light: the wave equation for E and B</t>
  </si>
  <si>
    <t xml:space="preserve">EM-20, WO-09</t>
  </si>
  <si>
    <t xml:space="preserve">What is an Electromagnetic Wave?</t>
  </si>
  <si>
    <t xml:space="preserve">3:41</t>
  </si>
  <si>
    <t xml:space="preserve">https://youtu.be/hk63uUhkZH4</t>
  </si>
  <si>
    <t xml:space="preserve">OpenStax University Physics Vol. 1 (CC BY 4.0) §16.1-16.3 Travelling waves</t>
  </si>
  <si>
    <t xml:space="preserve">The wave equation: deriving y(x,t) and the speed of a wave on a string</t>
  </si>
  <si>
    <t xml:space="preserve">(2:3) The Wave Equation: Derivation (Walter Lewin, MIT)</t>
  </si>
  <si>
    <t xml:space="preserve">hamsterpoop</t>
  </si>
  <si>
    <t xml:space="preserve">10:26</t>
  </si>
  <si>
    <t xml:space="preserve">https://youtu.be/r2GIY2ZmXPY</t>
  </si>
  <si>
    <t xml:space="preserve">OP-03</t>
  </si>
  <si>
    <t xml:space="preserve">OpenStax University Physics Vol. 3 (CC BY 4.0) §2.2 Mirrors</t>
  </si>
  <si>
    <t xml:space="preserve">Spherical mirrors: ray diagrams and the mirror equation</t>
  </si>
  <si>
    <t xml:space="preserve">Concave Mirror Demo: Pendulum</t>
  </si>
  <si>
    <t xml:space="preserve">2:24</t>
  </si>
  <si>
    <t xml:space="preserve">https://youtu.be/3e-LZPHBA2M</t>
  </si>
  <si>
    <t xml:space="preserve">MP-03</t>
  </si>
  <si>
    <t xml:space="preserve">OpenStax University Physics Vol. 3 (CC BY 4.0) §5.8-5.9 E = mc²</t>
  </si>
  <si>
    <t xml:space="preserve">Relativistic momentum and E = mc², derived</t>
  </si>
  <si>
    <t xml:space="preserve">E=mc2 explained Simply!</t>
  </si>
  <si>
    <t xml:space="preserve">Kirkman's Academy</t>
  </si>
  <si>
    <t xml:space="preserve">4:34</t>
  </si>
  <si>
    <t xml:space="preserve">https://youtu.be/Oo7wuas5xNU</t>
  </si>
  <si>
    <t xml:space="preserve">MM-03</t>
  </si>
  <si>
    <t xml:space="preserve">OpenStax Calculus Vol. 3 §6.5 Divergence and curl</t>
  </si>
  <si>
    <t xml:space="preserve">Divergence and curl: what the symbols mean, with fields you can see</t>
  </si>
  <si>
    <t xml:space="preserve">ME-24</t>
  </si>
  <si>
    <t xml:space="preserve">OpenStax University Physics Vol. 1 (CC BY 4.0) §11.2-11.3 Angular momentum</t>
  </si>
  <si>
    <t xml:space="preserve">Conservation of angular momentum: the spinning skater, derived</t>
  </si>
  <si>
    <t xml:space="preserve">Conservation of Angular Momentum</t>
  </si>
  <si>
    <t xml:space="preserve">0:47</t>
  </si>
  <si>
    <t xml:space="preserve">https://youtu.be/M6PuutIm5h4</t>
  </si>
  <si>
    <t xml:space="preserve">ME-25</t>
  </si>
  <si>
    <t xml:space="preserve">OpenStax University Physics Vol. 1 (CC BY 4.0) §11.4 Precession of a gyroscope</t>
  </si>
  <si>
    <t xml:space="preserve">Gyroscopic precession: why the spinning wheel refuses to fall</t>
  </si>
  <si>
    <t xml:space="preserve">Gyroscopic precession -- An intuitive explanation</t>
  </si>
  <si>
    <t xml:space="preserve">TheHue's SciTech</t>
  </si>
  <si>
    <t xml:space="preserve">3:28</t>
  </si>
  <si>
    <t xml:space="preserve">https://youtu.be/n5bKzBZ7XuM</t>
  </si>
  <si>
    <t xml:space="preserve">EM-22</t>
  </si>
  <si>
    <t xml:space="preserve">OpenStax University Physics Vol. 2 (CC BY 4.0) §16.3-16.4 Poynting vector</t>
  </si>
  <si>
    <t xml:space="preserve">The Poynting vector: where the energy in a circuit actually flows</t>
  </si>
  <si>
    <t xml:space="preserve">The Poynting Vector in a DC Circuit</t>
  </si>
  <si>
    <t xml:space="preserve">Joseph Newton</t>
  </si>
  <si>
    <t xml:space="preserve">14:24</t>
  </si>
  <si>
    <t xml:space="preserve">https://youtu.be/EH2A8mZmM9M</t>
  </si>
  <si>
    <t xml:space="preserve">EM-23</t>
  </si>
  <si>
    <t xml:space="preserve">OpenStax University Physics Vol. 2 (CC BY 4.0) Ch.5-10 (whole)</t>
  </si>
  <si>
    <t xml:space="preserve">ALL of Electrostatics &amp; Circuits in 15 minutes</t>
  </si>
  <si>
    <t xml:space="preserve">15 min</t>
  </si>
  <si>
    <t xml:space="preserve">EM-01…EM-08</t>
  </si>
  <si>
    <t xml:space="preserve">AP Physics C Electricity &amp; Magnetism Full Review in 40 Minutes (2026)</t>
  </si>
  <si>
    <t xml:space="preserve">Simple Explanations by Dheirya Tyagi</t>
  </si>
  <si>
    <t xml:space="preserve">41:39</t>
  </si>
  <si>
    <t xml:space="preserve">https://youtu.be/ekn_XqpALWU</t>
  </si>
  <si>
    <t xml:space="preserve">EM-24</t>
  </si>
  <si>
    <t xml:space="preserve">OpenStax University Physics Vol. 2 (CC BY 4.0) Ch.11-16 (whole)</t>
  </si>
  <si>
    <t xml:space="preserve">ALL of Magnetism &amp; Induction in 15 minutes</t>
  </si>
  <si>
    <t xml:space="preserve">EM-09…EM-22</t>
  </si>
  <si>
    <t xml:space="preserve">A Level Physics Revision: All of Electromagnetism (in 38 minutes)</t>
  </si>
  <si>
    <t xml:space="preserve">ZPhysics</t>
  </si>
  <si>
    <t xml:space="preserve">38:39</t>
  </si>
  <si>
    <t xml:space="preserve">https://youtu.be/RjY5bZ4Bl8o</t>
  </si>
  <si>
    <t xml:space="preserve">XC-04</t>
  </si>
  <si>
    <t xml:space="preserve">Cross-course</t>
  </si>
  <si>
    <t xml:space="preserve">Sleep compilation</t>
  </si>
  <si>
    <t xml:space="preserve">Everything about Electricity &amp; Magnetism, explained slowly (2 hours, for sleep)</t>
  </si>
  <si>
    <t xml:space="preserve">Sleep compilation (2 h, explained slowly)</t>
  </si>
  <si>
    <t xml:space="preserve">120 min</t>
  </si>
  <si>
    <t xml:space="preserve">EM-01…EM-24</t>
  </si>
  <si>
    <t xml:space="preserve">Explaining Confusing Engineering Concepts To Help You Sleep</t>
  </si>
  <si>
    <t xml:space="preserve">Cosmo Explains</t>
  </si>
  <si>
    <t xml:space="preserve">2:01:31</t>
  </si>
  <si>
    <t xml:space="preserve">https://youtu.be/qGv0UuzALJA</t>
  </si>
  <si>
    <t xml:space="preserve">WO-10</t>
  </si>
  <si>
    <t xml:space="preserve">OpenStax University Physics Vol. 1 (CC BY 4.0) §16.5-16.6 Superposition &amp; standing waves</t>
  </si>
  <si>
    <t xml:space="preserve">Standing waves: nodes, antinodes and harmonics, animated</t>
  </si>
  <si>
    <t xml:space="preserve">Standing Waves Part I: Demonstration</t>
  </si>
  <si>
    <t xml:space="preserve">4:38</t>
  </si>
  <si>
    <t xml:space="preserve">https://youtu.be/-gr7KmTOrx0</t>
  </si>
  <si>
    <t xml:space="preserve">OP-04</t>
  </si>
  <si>
    <t xml:space="preserve">OpenStax University Physics Vol. 3 (CC BY 4.0) §2.4 Thin lenses</t>
  </si>
  <si>
    <t xml:space="preserve">Thin lenses: the lens equation, magnification and sign conventions</t>
  </si>
  <si>
    <t xml:space="preserve">Mirrors and Lens Equation 1/f = 1/do + 1/di and Magnification EVERYTHING YOU NEED TO KNOW MCAT</t>
  </si>
  <si>
    <t xml:space="preserve">Science Simplified</t>
  </si>
  <si>
    <t xml:space="preserve">15:10</t>
  </si>
  <si>
    <t xml:space="preserve">https://youtu.be/q6B8Cpvg3ak</t>
  </si>
  <si>
    <t xml:space="preserve">MP-04</t>
  </si>
  <si>
    <t xml:space="preserve">OpenStax University Physics Vol. 3 (CC BY 4.0) §6.1-6.3 Photons</t>
  </si>
  <si>
    <t xml:space="preserve">Blackbody radiation, the photoelectric effect and Compton scattering: how the photon was forced on physics</t>
  </si>
  <si>
    <t xml:space="preserve">Black Body Radiation - A puzzle | In Hindi</t>
  </si>
  <si>
    <t xml:space="preserve">https://youtu.be/ktvsucLC_WY</t>
  </si>
  <si>
    <t xml:space="preserve">MM-04</t>
  </si>
  <si>
    <t xml:space="preserve">OpenStax Calculus Vol. 3 §6.2-6.6 Line &amp; surface integrals</t>
  </si>
  <si>
    <t xml:space="preserve">Line and surface integrals, and why physicists need both</t>
  </si>
  <si>
    <t xml:space="preserve">Surface Integrals</t>
  </si>
  <si>
    <t xml:space="preserve">19:45</t>
  </si>
  <si>
    <t xml:space="preserve">https://youtu.be/8V_G75YlV9o</t>
  </si>
  <si>
    <t xml:space="preserve">ME-26</t>
  </si>
  <si>
    <t xml:space="preserve">OpenStax University Physics Vol. 1 (CC BY 4.0) Ch.12 Static equilibrium</t>
  </si>
  <si>
    <t xml:space="preserve">Static equilibrium: ladders, beams and the two conditions</t>
  </si>
  <si>
    <t xml:space="preserve">Static Equilibrium: concept</t>
  </si>
  <si>
    <t xml:space="preserve">7:28</t>
  </si>
  <si>
    <t xml:space="preserve">https://youtu.be/0BIgFKVnlBU</t>
  </si>
  <si>
    <t xml:space="preserve">Phase 4: final anchors and sleep compilations</t>
  </si>
  <si>
    <t xml:space="preserve">ME-27</t>
  </si>
  <si>
    <t xml:space="preserve">OpenStax University Physics Vol. 1 (CC BY 4.0) §13.1-13.4 Gravitation &amp; orbits</t>
  </si>
  <si>
    <t xml:space="preserve">Orbits: how to find speed, period and energy of a satellite</t>
  </si>
  <si>
    <t xml:space="preserve">ME-05, ME-14</t>
  </si>
  <si>
    <t xml:space="preserve">Understanding Universal law of Gravitation!</t>
  </si>
  <si>
    <t xml:space="preserve">6:57</t>
  </si>
  <si>
    <t xml:space="preserve">https://youtu.be/Af9lRX4xsr0</t>
  </si>
  <si>
    <t xml:space="preserve">WO-11</t>
  </si>
  <si>
    <t xml:space="preserve">OpenStax University Physics Vol. 1 (CC BY 4.0) §17.6 Beats</t>
  </si>
  <si>
    <t xml:space="preserve">Beats: why two close frequencies pulse</t>
  </si>
  <si>
    <t xml:space="preserve">4-6 min</t>
  </si>
  <si>
    <t xml:space="preserve">Beats physics animation. How beats are created through interference of waves? Waves and beats.</t>
  </si>
  <si>
    <t xml:space="preserve">0:23</t>
  </si>
  <si>
    <t xml:space="preserve">https://youtu.be/p8oAEuDO0pQ</t>
  </si>
  <si>
    <t xml:space="preserve">OP-05</t>
  </si>
  <si>
    <t xml:space="preserve">OpenStax University Physics Vol. 3 (CC BY 4.0) §3.1-3.2 Young's double slit</t>
  </si>
  <si>
    <t xml:space="preserve">Young's double slit: deriving the fringe spacing</t>
  </si>
  <si>
    <t xml:space="preserve">Deriving Young’s Double Slit Interference Formulas</t>
  </si>
  <si>
    <t xml:space="preserve">5:43</t>
  </si>
  <si>
    <t xml:space="preserve">https://youtu.be/_uy6LsTBf84</t>
  </si>
  <si>
    <t xml:space="preserve">MP-05</t>
  </si>
  <si>
    <t xml:space="preserve">OpenStax University Physics Vol. 3 (CC BY 4.0) §6.4-6.6 Bohr &amp; de Broglie</t>
  </si>
  <si>
    <t xml:space="preserve">The Bohr model and de Broglie waves: why orbits are quantised</t>
  </si>
  <si>
    <t xml:space="preserve">MP-04, ME-27</t>
  </si>
  <si>
    <t xml:space="preserve">Deriving the Bohr Radius of the Atom</t>
  </si>
  <si>
    <t xml:space="preserve">3:37</t>
  </si>
  <si>
    <t xml:space="preserve">https://youtu.be/PhFYMf70GrQ</t>
  </si>
  <si>
    <t xml:space="preserve">MM-05</t>
  </si>
  <si>
    <t xml:space="preserve">OpenStax Calculus Vol. 3 §6.7-6.8 Stokes &amp; divergence theorems</t>
  </si>
  <si>
    <t xml:space="preserve">Stokes' theorem and the divergence theorem: Maxwell's equations in two forms</t>
  </si>
  <si>
    <t xml:space="preserve">Divergence Theorem</t>
  </si>
  <si>
    <t xml:space="preserve">https://youtu.be/8WpUFReBvdY</t>
  </si>
  <si>
    <t xml:space="preserve">ME-28</t>
  </si>
  <si>
    <t xml:space="preserve">OpenStax University Physics Vol. 1 (CC BY 4.0) §13.5 Kepler's laws</t>
  </si>
  <si>
    <t xml:space="preserve">Kepler's three laws, derived from Newton's gravity</t>
  </si>
  <si>
    <t xml:space="preserve">ME-24, ME-27</t>
  </si>
  <si>
    <t xml:space="preserve">KEPLER'S LAWS | Physics Animation</t>
  </si>
  <si>
    <t xml:space="preserve">4:03</t>
  </si>
  <si>
    <t xml:space="preserve">https://youtu.be/Dvoe8Ib5D1o</t>
  </si>
  <si>
    <t xml:space="preserve">XC-01</t>
  </si>
  <si>
    <t xml:space="preserve">OpenStax University Physics Vol. 1 (CC BY 4.0) Ch.1-13 (whole)</t>
  </si>
  <si>
    <t xml:space="preserve">ALL of first-year Mechanics in 15 minutes</t>
  </si>
  <si>
    <t xml:space="preserve">ME-01…ME-28</t>
  </si>
  <si>
    <t xml:space="preserve">QUANTUM PHYSICS explained in 7 Minutes</t>
  </si>
  <si>
    <t xml:space="preserve">Ryxplain</t>
  </si>
  <si>
    <t xml:space="preserve">7:20</t>
  </si>
  <si>
    <t xml:space="preserve">https://youtu.be/gxfpoKgKvGI</t>
  </si>
  <si>
    <t xml:space="preserve">WO-12</t>
  </si>
  <si>
    <t xml:space="preserve">OpenStax University Physics Vol. 1 (CC BY 4.0) §17.7 Doppler effect</t>
  </si>
  <si>
    <t xml:space="preserve">The Doppler effect: the formula derived in one picture</t>
  </si>
  <si>
    <t xml:space="preserve">Doppler Effect Formula Made Easy</t>
  </si>
  <si>
    <t xml:space="preserve">Shack Solem</t>
  </si>
  <si>
    <t xml:space="preserve">2:56</t>
  </si>
  <si>
    <t xml:space="preserve">https://youtu.be/rUm6k-cpKbA</t>
  </si>
  <si>
    <t xml:space="preserve">XC-02</t>
  </si>
  <si>
    <t xml:space="preserve">OpenStax University Physics Vol. 1 (CC BY 4.0) Ch.14-17 (whole)</t>
  </si>
  <si>
    <t xml:space="preserve">ALL of Oscillations, Waves &amp; Sound in 12 minutes</t>
  </si>
  <si>
    <t xml:space="preserve">WO-01…WO-12</t>
  </si>
  <si>
    <t xml:space="preserve">A Level Physics Revision: All of Waves (in 28 minutes)</t>
  </si>
  <si>
    <t xml:space="preserve">28:50</t>
  </si>
  <si>
    <t xml:space="preserve">https://youtu.be/AdQlg3eZgpY</t>
  </si>
  <si>
    <t xml:space="preserve">XC-03</t>
  </si>
  <si>
    <t xml:space="preserve">Everything about first-year Mechanics, explained slowly (2 hours, for sleep)</t>
  </si>
  <si>
    <t xml:space="preserve">ME-01…ME-28, XC-01</t>
  </si>
  <si>
    <t xml:space="preserve">How Quantum Physics Explains the Nature of Reality | Sleep-Inducing Science</t>
  </si>
  <si>
    <t xml:space="preserve">Orbital Dreams</t>
  </si>
  <si>
    <t xml:space="preserve">1:53:39</t>
  </si>
  <si>
    <t xml:space="preserve">https://youtu.be/KELriDAtqio</t>
  </si>
  <si>
    <t xml:space="preserve">OP-06</t>
  </si>
  <si>
    <t xml:space="preserve">OpenStax University Physics Vol. 3 (CC BY 4.0) §3.4 Thin-film interference</t>
  </si>
  <si>
    <t xml:space="preserve">Thin-film interference: why soap bubbles have colours</t>
  </si>
  <si>
    <t xml:space="preserve">How to Solve Thin Film Interference Problems in Physics</t>
  </si>
  <si>
    <t xml:space="preserve">Dan the Tutor</t>
  </si>
  <si>
    <t xml:space="preserve">13:48</t>
  </si>
  <si>
    <t xml:space="preserve">https://youtu.be/iG18FO71R3w</t>
  </si>
  <si>
    <t xml:space="preserve">MP-06</t>
  </si>
  <si>
    <t xml:space="preserve">OpenStax University Physics Vol. 3 (CC BY 4.0) §7.1-7.2 Wave functions</t>
  </si>
  <si>
    <t xml:space="preserve">The wave function and the uncertainty principle, without hand-waving</t>
  </si>
  <si>
    <t xml:space="preserve">MP-05, WO-10</t>
  </si>
  <si>
    <t xml:space="preserve">How Heisenberg Discovered Quantum Mechanics</t>
  </si>
  <si>
    <t xml:space="preserve">26:16</t>
  </si>
  <si>
    <t xml:space="preserve">https://youtu.be/BcNHTv7Rw3c</t>
  </si>
  <si>
    <t xml:space="preserve">MM-06</t>
  </si>
  <si>
    <t xml:space="preserve">OpenStax Calculus Vol. 2 Ch.7 / Differential equations</t>
  </si>
  <si>
    <t xml:space="preserve">The three differential equations in all of first-year physics (and how to solve each)</t>
  </si>
  <si>
    <t xml:space="preserve">WO-04, EM-08</t>
  </si>
  <si>
    <t xml:space="preserve">Top 23 Differential Equations in Mathematical Physics</t>
  </si>
  <si>
    <t xml:space="preserve">DIBEOS</t>
  </si>
  <si>
    <t xml:space="preserve">47:22</t>
  </si>
  <si>
    <t xml:space="preserve">https://youtu.be/tOC8vfVAnus</t>
  </si>
  <si>
    <t xml:space="preserve">OP-07</t>
  </si>
  <si>
    <t xml:space="preserve">OpenStax University Physics Vol. 3 (CC BY 4.0) §4.1-4.4 Diffraction</t>
  </si>
  <si>
    <t xml:space="preserve">Single-slit diffraction and the diffraction grating, derived</t>
  </si>
  <si>
    <t xml:space="preserve">Physics - Waves - Diffraction</t>
  </si>
  <si>
    <t xml:space="preserve">1:32</t>
  </si>
  <si>
    <t xml:space="preserve">https://youtu.be/GgfKdVFfM28</t>
  </si>
  <si>
    <t xml:space="preserve">MP-07</t>
  </si>
  <si>
    <t xml:space="preserve">OpenStax University Physics Vol. 3 (CC BY 4.0) §7.3-7.4 Schrödinger &amp; particle in a box</t>
  </si>
  <si>
    <t xml:space="preserve">The Schrödinger equation and the particle in a box, solved</t>
  </si>
  <si>
    <t xml:space="preserve">MP-06, MM-06</t>
  </si>
  <si>
    <t xml:space="preserve">How Schrödinger Derived It</t>
  </si>
  <si>
    <t xml:space="preserve">19:53</t>
  </si>
  <si>
    <t xml:space="preserve">https://youtu.be/mkpKR_8z6GU</t>
  </si>
  <si>
    <t xml:space="preserve">OP-08</t>
  </si>
  <si>
    <t xml:space="preserve">OpenStax University Physics Vol. 3 (CC BY 4.0) §4.5 Resolution</t>
  </si>
  <si>
    <t xml:space="preserve">The Rayleigh criterion: why telescopes need to be big</t>
  </si>
  <si>
    <t xml:space="preserve">Rayleigh criterion for diffraction limited resolution through a circular aperture: Rayleigh equation</t>
  </si>
  <si>
    <t xml:space="preserve">Zak's Lab</t>
  </si>
  <si>
    <t xml:space="preserve">https://youtu.be/YAMmhTexnS0</t>
  </si>
  <si>
    <t xml:space="preserve">MP-08</t>
  </si>
  <si>
    <t xml:space="preserve">OpenStax University Physics Vol. 3 (CC BY 4.0) §7.5-7.6 QHO &amp; tunnelling</t>
  </si>
  <si>
    <t xml:space="preserve">The quantum harmonic oscillator and quantum tunnelling</t>
  </si>
  <si>
    <t xml:space="preserve">MP-07, WO-04</t>
  </si>
  <si>
    <t xml:space="preserve">Quantum harmonic oscillator via ladder operators</t>
  </si>
  <si>
    <t xml:space="preserve">Brant Carlson</t>
  </si>
  <si>
    <t xml:space="preserve">37:22</t>
  </si>
  <si>
    <t xml:space="preserve">https://youtu.be/gRdCV9p8sAU</t>
  </si>
  <si>
    <t xml:space="preserve">MP-09</t>
  </si>
  <si>
    <t xml:space="preserve">OpenStax University Physics Vol. 3 (CC BY 4.0) §8.1-8.3 Hydrogen atom &amp; spin</t>
  </si>
  <si>
    <t xml:space="preserve">The hydrogen atom: quantum numbers, orbitals and spin ½</t>
  </si>
  <si>
    <t xml:space="preserve">Demonstration of Spin 1/2</t>
  </si>
  <si>
    <t xml:space="preserve">lloydwatts60</t>
  </si>
  <si>
    <t xml:space="preserve">3:14</t>
  </si>
  <si>
    <t xml:space="preserve">https://youtu.be/JFSU9X11wyY</t>
  </si>
  <si>
    <t xml:space="preserve">MP-10</t>
  </si>
  <si>
    <t xml:space="preserve">OpenStax University Physics Vol. 3 (CC BY 4.0) Ch.10 Nuclear physics</t>
  </si>
  <si>
    <t xml:space="preserve">Radioactive decay, half-life, binding energy, fission and fusion</t>
  </si>
  <si>
    <t xml:space="preserve">Nuclear Fusion, How the Sun's energy is produced. Explained Simply</t>
  </si>
  <si>
    <t xml:space="preserve">https://youtu.be/21_W5NEVTXg</t>
  </si>
  <si>
    <t xml:space="preserve">Video 1</t>
  </si>
  <si>
    <t xml:space="preserve">Video 2</t>
  </si>
  <si>
    <t xml:space="preserve">Video 3</t>
  </si>
  <si>
    <t xml:space="preserve">ME-01  Vectors: components, dot and cross product in one animation</t>
  </si>
  <si>
    <t xml:space="preserve">EM-01  Coulomb's law and superposition: solving multi-charge problems</t>
  </si>
  <si>
    <t xml:space="preserve">ME-02  The kinematic equations: where they come from (not just how to use them)</t>
  </si>
  <si>
    <t xml:space="preserve">EM-02  The electric field: what it is, and the field of a line and a ring of charge</t>
  </si>
  <si>
    <t xml:space="preserve">ME-03  Free fall and the velocity-time graph, visualised</t>
  </si>
  <si>
    <t xml:space="preserve">EM-03  Gauss's law: an intuitive picture, then the sphere, cylinder and plane</t>
  </si>
  <si>
    <t xml:space="preserve">ME-04  Projectile motion from zero: one method for every question</t>
  </si>
  <si>
    <t xml:space="preserve">EM-04  Electric potential vs potential energy vs voltage: the three things students mix up</t>
  </si>
  <si>
    <t xml:space="preserve">ME-05  Why circular motion needs a force: centripetal acceleration derived</t>
  </si>
  <si>
    <t xml:space="preserve">EM-05  Capacitors: capacitance, stored energy and dielectrics, derived</t>
  </si>
  <si>
    <t xml:space="preserve">ME-06  Relative velocity: the boat, the river and the frame of reference</t>
  </si>
  <si>
    <t xml:space="preserve">EM-06  Current, drift velocity and Ohm's law from the electron's point of view</t>
  </si>
  <si>
    <t xml:space="preserve">ME-07  Newton's three laws, properly: what each one actually says</t>
  </si>
  <si>
    <t xml:space="preserve">EM-07  Kirchhoff's rules: solving any circuit with two equations</t>
  </si>
  <si>
    <t xml:space="preserve">ME-08  Free-body diagrams: the five-step method that solves any force problem</t>
  </si>
  <si>
    <t xml:space="preserve">EM-08  RC circuits: charging and discharging, the differential equation solved visually</t>
  </si>
  <si>
    <t xml:space="preserve">ME-09  Inclined planes and pulleys (Atwood machine), step by step</t>
  </si>
  <si>
    <t xml:space="preserve">EM-09  The magnetic force on a moving charge and why it does no work</t>
  </si>
  <si>
    <t xml:space="preserve">ME-10  Friction: static vs kinetic, and why the static value is a maximum</t>
  </si>
  <si>
    <t xml:space="preserve">EM-10  Torque on a current loop in a magnetic field (how a motor works)</t>
  </si>
  <si>
    <t xml:space="preserve">ME-11  Banked curves, loops and conical pendulums: centripetal force problems</t>
  </si>
  <si>
    <t xml:space="preserve">EM-11  The Biot-Savart law: the field of a straight wire and a loop, derived</t>
  </si>
  <si>
    <t xml:space="preserve">ME-12  Drag and terminal velocity: solving the differential equation visually</t>
  </si>
  <si>
    <t xml:space="preserve">EM-12  Ampère's law: the wire, the solenoid and the toroid</t>
  </si>
  <si>
    <t xml:space="preserve">ME-13  Work and the work-energy theorem, derived from F = ma</t>
  </si>
  <si>
    <t xml:space="preserve">EM-13  Faraday's law and Lenz's law: electromagnetic induction in one animation</t>
  </si>
  <si>
    <t xml:space="preserve">WO-01  Archimedes' principle: the buoyant force derived, not memorised</t>
  </si>
  <si>
    <t xml:space="preserve">TH-01  Conduction, convection and radiation: the three heat-transfer equations</t>
  </si>
  <si>
    <t xml:space="preserve">ME-14  Conservation of energy: the method that skips the forces entirely</t>
  </si>
  <si>
    <t xml:space="preserve">EM-14  Motional emf: the sliding rod, derived two ways</t>
  </si>
  <si>
    <t xml:space="preserve">WO-02  Bernoulli's principle: what it really says (and what the aeroplane myth gets wrong)</t>
  </si>
  <si>
    <t xml:space="preserve">TH-02  Kinetic theory: deriving pressure and temperature from bouncing molecules</t>
  </si>
  <si>
    <t xml:space="preserve">ME-15  Potential energy diagrams: reading stability off a curve</t>
  </si>
  <si>
    <t xml:space="preserve">EM-15  Generators, back emf and eddy currents: induction in the real world</t>
  </si>
  <si>
    <t xml:space="preserve">WO-03  Viscosity, Reynolds number and the onset of turbulence</t>
  </si>
  <si>
    <t xml:space="preserve">TH-03  The Maxwell-Boltzmann distribution: where the curve comes from</t>
  </si>
  <si>
    <t xml:space="preserve">ME-16  Momentum and impulse: why airbags work (F Δt = Δp)</t>
  </si>
  <si>
    <t xml:space="preserve">EM-16  Inductance: self-inductance, the RL circuit and energy in a magnetic field</t>
  </si>
  <si>
    <t xml:space="preserve">WO-04  Simple harmonic motion: the general equation, derived and animated</t>
  </si>
  <si>
    <t xml:space="preserve">TH-04  The first law of thermodynamics and the four named processes on a PV diagram</t>
  </si>
  <si>
    <t xml:space="preserve">ME-17  Elastic vs inelastic collisions in 1D and 2D: one method</t>
  </si>
  <si>
    <t xml:space="preserve">EM-17  LC oscillations: a circuit that behaves exactly like a mass on a spring</t>
  </si>
  <si>
    <t xml:space="preserve">WO-05  Why SHM is the shadow of circular motion (phasors explained)</t>
  </si>
  <si>
    <t xml:space="preserve">TH-05  Why Cp is bigger than Cv (and the equipartition theorem)</t>
  </si>
  <si>
    <t xml:space="preserve">ME-18  Centre of mass: why the system moves as if it were one particle</t>
  </si>
  <si>
    <t xml:space="preserve">EM-18  AC circuits: impedance, phasors and resonance without the panic</t>
  </si>
  <si>
    <t xml:space="preserve">WO-06  The pendulum: period, the small-angle approximation and when it fails</t>
  </si>
  <si>
    <t xml:space="preserve">TH-06  The Carnot cycle and the maximum efficiency of any engine</t>
  </si>
  <si>
    <t xml:space="preserve">ME-19  The rocket equation, derived from momentum conservation</t>
  </si>
  <si>
    <t xml:space="preserve">EM-19  How a transformer works (and why the grid runs on AC)</t>
  </si>
  <si>
    <t xml:space="preserve">WO-07  Damped oscillations: under-, over- and critically damped, visualised</t>
  </si>
  <si>
    <t xml:space="preserve">TH-07  Entropy: from dQ/T to counting microstates (S = k ln W)</t>
  </si>
  <si>
    <t xml:space="preserve">TH-08  ALL of Thermodynamics in 12 minutes</t>
  </si>
  <si>
    <t xml:space="preserve">OP-01  Snell's law and total internal reflection (how optical fibre works)</t>
  </si>
  <si>
    <t xml:space="preserve">MP-01  Time dilation and length contraction from two postulates (the light clock)</t>
  </si>
  <si>
    <t xml:space="preserve">MM-01  Vectors, scalars and tensors: what a tensor actually is</t>
  </si>
  <si>
    <t xml:space="preserve">ME-20  Rotational kinematics: every linear equation has a rotational twin</t>
  </si>
  <si>
    <t xml:space="preserve">ME-21  Moment of inertia: what it is and how to calculate it for any shape</t>
  </si>
  <si>
    <t xml:space="preserve">EM-20  Maxwell's four equations, explained one picture at a time</t>
  </si>
  <si>
    <t xml:space="preserve">WO-08  Resonance: forced oscillations and why the bridge fell</t>
  </si>
  <si>
    <t xml:space="preserve">OP-02  Polarisation and Malus's law: why sunglasses kill glare</t>
  </si>
  <si>
    <t xml:space="preserve">MP-02  The Lorentz transformation, derived, and the spacetime diagram</t>
  </si>
  <si>
    <t xml:space="preserve">MM-02  Partial derivatives and the gradient: the direction of steepest ascent</t>
  </si>
  <si>
    <t xml:space="preserve">ME-22  Torque and the rotational form of Newton's second law</t>
  </si>
  <si>
    <t xml:space="preserve">ME-23  Rolling without slipping: why a hoop loses the race to a sphere</t>
  </si>
  <si>
    <t xml:space="preserve">EM-21  How Maxwell's equations predict light: the wave equation for E and B</t>
  </si>
  <si>
    <t xml:space="preserve">WO-09  The wave equation: deriving y(x,t) and the speed of a wave on a string</t>
  </si>
  <si>
    <t xml:space="preserve">OP-03  Spherical mirrors: ray diagrams and the mirror equation</t>
  </si>
  <si>
    <t xml:space="preserve">MP-03  Relativistic momentum and E = mc², derived</t>
  </si>
  <si>
    <t xml:space="preserve">MM-03  Divergence and curl: what the symbols mean, with fields you can see</t>
  </si>
  <si>
    <t xml:space="preserve">ME-24  Conservation of angular momentum: the spinning skater, derived</t>
  </si>
  <si>
    <t xml:space="preserve">ME-25  Gyroscopic precession: why the spinning wheel refuses to fall</t>
  </si>
  <si>
    <t xml:space="preserve">EM-22  The Poynting vector: where the energy in a circuit actually flows</t>
  </si>
  <si>
    <t xml:space="preserve">EM-23  ALL of Electrostatics &amp; Circuits in 15 minutes</t>
  </si>
  <si>
    <t xml:space="preserve">EM-24  ALL of Magnetism &amp; Induction in 15 minutes</t>
  </si>
  <si>
    <t xml:space="preserve">XC-04  Everything about Electricity &amp; Magnetism, explained slowly (2 hours, for sleep)</t>
  </si>
  <si>
    <t xml:space="preserve">WO-10  Standing waves: nodes, antinodes and harmonics, animated</t>
  </si>
  <si>
    <t xml:space="preserve">OP-04  Thin lenses: the lens equation, magnification and sign conventions</t>
  </si>
  <si>
    <t xml:space="preserve">MP-04  Blackbody radiation, the photoelectric effect and Compton scattering: how the photon was forced on physics</t>
  </si>
  <si>
    <t xml:space="preserve">MM-04  Line and surface integrals, and why physicists need both</t>
  </si>
  <si>
    <t xml:space="preserve">ME-26  Static equilibrium: ladders, beams and the two conditions</t>
  </si>
  <si>
    <t xml:space="preserve">ME-27  Orbits: how to find speed, period and energy of a satellite</t>
  </si>
  <si>
    <t xml:space="preserve">WO-11  Beats: why two close frequencies pulse</t>
  </si>
  <si>
    <t xml:space="preserve">OP-05  Young's double slit: deriving the fringe spacing</t>
  </si>
  <si>
    <t xml:space="preserve">MP-05  The Bohr model and de Broglie waves: why orbits are quantised</t>
  </si>
  <si>
    <t xml:space="preserve">MM-05  Stokes' theorem and the divergence theorem: Maxwell's equations in two forms</t>
  </si>
  <si>
    <t xml:space="preserve">ME-28  Kepler's three laws, derived from Newton's gravity</t>
  </si>
  <si>
    <t xml:space="preserve">XC-01  ALL of first-year Mechanics in 15 minutes</t>
  </si>
  <si>
    <t xml:space="preserve">WO-12  The Doppler effect: the formula derived in one picture</t>
  </si>
  <si>
    <t xml:space="preserve">XC-02  ALL of Oscillations, Waves &amp; Sound in 12 minutes</t>
  </si>
  <si>
    <t xml:space="preserve">XC-03  Everything about first-year Mechanics, explained slowly (2 hours, for sleep)</t>
  </si>
  <si>
    <t xml:space="preserve">OP-06  Thin-film interference: why soap bubbles have colours</t>
  </si>
  <si>
    <t xml:space="preserve">MP-06  The wave function and the uncertainty principle, without hand-waving</t>
  </si>
  <si>
    <t xml:space="preserve">MM-06  The three differential equations in all of first-year physics (and how to solve each)</t>
  </si>
  <si>
    <t xml:space="preserve">OP-07  Single-slit diffraction and the diffraction grating, derived</t>
  </si>
  <si>
    <t xml:space="preserve">MP-07  The Schrödinger equation and the particle in a box, solved</t>
  </si>
  <si>
    <t xml:space="preserve">OP-08  The Rayleigh criterion: why telescopes need to be big</t>
  </si>
  <si>
    <t xml:space="preserve">MP-08  The quantum harmonic oscillator and quantum tunnelling</t>
  </si>
  <si>
    <t xml:space="preserve">MP-09  The hydrogen atom: quantum numbers, orbitals and spin ½</t>
  </si>
  <si>
    <t xml:space="preserve">MP-10  Radioactive decay, half-life, binding energy, fission and fusion</t>
  </si>
  <si>
    <t xml:space="preserve">Source section</t>
  </si>
  <si>
    <t xml:space="preserve">Length</t>
  </si>
  <si>
    <t xml:space="preserve">Production order</t>
  </si>
  <si>
    <t xml:space="preserve">Progress</t>
  </si>
  <si>
    <t xml:space="preserve">By status</t>
  </si>
  <si>
    <t xml:space="preserve">By course</t>
  </si>
  <si>
    <t xml:space="preserve">Videos</t>
  </si>
  <si>
    <t xml:space="preserve">Published</t>
  </si>
  <si>
    <t xml:space="preserve">By demand signal</t>
  </si>
  <si>
    <t xml:space="preserve">By supply age</t>
  </si>
  <si>
    <t xml:space="preserve">Scripted</t>
  </si>
  <si>
    <t xml:space="preserve">Audio done</t>
  </si>
  <si>
    <t xml:space="preserve">Rendered</t>
  </si>
  <si>
    <t xml:space="preserve">No comparable video</t>
  </si>
  <si>
    <t xml:space="preserve">Total</t>
  </si>
  <si>
    <t xml:space="preserve">Next up (first 5 not yet published)</t>
  </si>
</sst>
</file>

<file path=xl/styles.xml><?xml version="1.0" encoding="utf-8"?>
<styleSheet xmlns="http://schemas.openxmlformats.org/spreadsheetml/2006/main">
  <numFmts count="5">
    <numFmt numFmtId="164" formatCode="General"/>
    <numFmt numFmtId="165" formatCode="0.00"/>
    <numFmt numFmtId="166" formatCode="#,##0"/>
    <numFmt numFmtId="167" formatCode="yyyy\-mm\-dd"/>
    <numFmt numFmtId="168" formatCode="General"/>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color rgb="FFFFFFFF"/>
      <name val="Arial"/>
      <family val="0"/>
      <charset val="1"/>
    </font>
    <font>
      <sz val="11"/>
      <name val="Arial"/>
      <family val="0"/>
      <charset val="1"/>
    </font>
    <font>
      <u val="single"/>
      <sz val="11"/>
      <color rgb="FF0563C1"/>
      <name val="Arial"/>
      <family val="0"/>
      <charset val="1"/>
    </font>
    <font>
      <sz val="11"/>
      <color rgb="FF808080"/>
      <name val="Arial"/>
      <family val="0"/>
      <charset val="1"/>
    </font>
    <font>
      <b val="true"/>
      <sz val="14"/>
      <name val="Arial"/>
      <family val="0"/>
      <charset val="1"/>
    </font>
    <font>
      <b val="true"/>
      <sz val="11"/>
      <name val="Arial"/>
      <family val="0"/>
      <charset val="1"/>
    </font>
  </fonts>
  <fills count="4">
    <fill>
      <patternFill patternType="none"/>
    </fill>
    <fill>
      <patternFill patternType="gray125"/>
    </fill>
    <fill>
      <patternFill patternType="solid">
        <fgColor rgb="FF1B2631"/>
        <bgColor rgb="FF333300"/>
      </patternFill>
    </fill>
    <fill>
      <patternFill patternType="solid">
        <fgColor rgb="FFFFFF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631"/>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FEB9C"/>
          <bgColor rgb="FF000000"/>
        </patternFill>
      </fill>
    </dxf>
    <dxf>
      <fill>
        <patternFill patternType="solid">
          <fgColor rgb="FFD6EAF8"/>
          <bgColor rgb="FF000000"/>
        </patternFill>
      </fill>
    </dxf>
    <dxf>
      <fill>
        <patternFill patternType="solid">
          <fgColor rgb="FF0563C1"/>
          <bgColor rgb="FF000000"/>
        </patternFill>
      </fill>
    </dxf>
    <dxf>
      <fill>
        <patternFill patternType="solid">
          <fgColor rgb="FFFFFFCC"/>
          <bgColor rgb="FF000000"/>
        </patternFill>
      </fill>
    </dxf>
    <dxf>
      <fill>
        <patternFill>
          <bgColor rgb="FFC6EFCE"/>
        </patternFill>
      </fill>
    </dxf>
    <dxf>
      <fill>
        <patternFill>
          <bgColor rgb="FFFFEB9C"/>
        </patternFill>
      </fill>
    </dxf>
    <dxf>
      <fill>
        <patternFill>
          <bgColor rgb="FFF2F2F2"/>
        </patternFill>
      </fill>
    </dxf>
    <dxf>
      <fill>
        <patternFill>
          <bgColor rgb="FFD6EAF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6EA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6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youtu.be/Gz09VNG5wJc" TargetMode="External"/><Relationship Id="rId2" Type="http://schemas.openxmlformats.org/officeDocument/2006/relationships/hyperlink" Target="https://youtu.be/B5LVoU_a08c" TargetMode="External"/><Relationship Id="rId3" Type="http://schemas.openxmlformats.org/officeDocument/2006/relationships/hyperlink" Target="https://youtu.be/WJN_F3PYp58" TargetMode="External"/><Relationship Id="rId4" Type="http://schemas.openxmlformats.org/officeDocument/2006/relationships/hyperlink" Target="https://youtu.be/WmZ3G2DWHlg" TargetMode="External"/><Relationship Id="rId5" Type="http://schemas.openxmlformats.org/officeDocument/2006/relationships/hyperlink" Target="https://youtu.be/EZXLkAYjmR0" TargetMode="External"/><Relationship Id="rId6" Type="http://schemas.openxmlformats.org/officeDocument/2006/relationships/hyperlink" Target="https://youtu.be/QNIJC1emss8" TargetMode="External"/><Relationship Id="rId7" Type="http://schemas.openxmlformats.org/officeDocument/2006/relationships/hyperlink" Target="https://youtu.be/1eRimU5befo" TargetMode="External"/><Relationship Id="rId8" Type="http://schemas.openxmlformats.org/officeDocument/2006/relationships/hyperlink" Target="https://youtu.be/j3GrOKre__0" TargetMode="External"/><Relationship Id="rId9" Type="http://schemas.openxmlformats.org/officeDocument/2006/relationships/hyperlink" Target="https://youtu.be/5vtH1uBaoBY" TargetMode="External"/><Relationship Id="rId10" Type="http://schemas.openxmlformats.org/officeDocument/2006/relationships/hyperlink" Target="https://youtu.be/cy_KI_FiS7I" TargetMode="External"/><Relationship Id="rId11" Type="http://schemas.openxmlformats.org/officeDocument/2006/relationships/hyperlink" Target="https://youtu.be/oKvscIVhelo" TargetMode="External"/><Relationship Id="rId12" Type="http://schemas.openxmlformats.org/officeDocument/2006/relationships/hyperlink" Target="https://youtu.be/x6jajfprWZo" TargetMode="External"/><Relationship Id="rId13" Type="http://schemas.openxmlformats.org/officeDocument/2006/relationships/hyperlink" Target="https://youtu.be/4q0KzgCNuyo" TargetMode="External"/><Relationship Id="rId14" Type="http://schemas.openxmlformats.org/officeDocument/2006/relationships/hyperlink" Target="https://youtu.be/yR8-NX82zOQ" TargetMode="External"/><Relationship Id="rId15" Type="http://schemas.openxmlformats.org/officeDocument/2006/relationships/hyperlink" Target="https://youtu.be/wIoiXgT7IX8" TargetMode="External"/><Relationship Id="rId16" Type="http://schemas.openxmlformats.org/officeDocument/2006/relationships/hyperlink" Target="https://youtu.be/b_S-Ni5n-2s" TargetMode="External"/><Relationship Id="rId17" Type="http://schemas.openxmlformats.org/officeDocument/2006/relationships/hyperlink" Target="https://youtu.be/BSF3wZfpkcI" TargetMode="External"/><Relationship Id="rId18" Type="http://schemas.openxmlformats.org/officeDocument/2006/relationships/hyperlink" Target="https://youtu.be/orsMYomjwIw" TargetMode="External"/><Relationship Id="rId19" Type="http://schemas.openxmlformats.org/officeDocument/2006/relationships/hyperlink" Target="https://youtu.be/HY_PjmHRxuE" TargetMode="External"/><Relationship Id="rId20" Type="http://schemas.openxmlformats.org/officeDocument/2006/relationships/hyperlink" Target="https://youtu.be/U7QBSL1nnAA" TargetMode="External"/><Relationship Id="rId21" Type="http://schemas.openxmlformats.org/officeDocument/2006/relationships/hyperlink" Target="https://youtu.be/5vtH1uBaoBY" TargetMode="External"/><Relationship Id="rId22" Type="http://schemas.openxmlformats.org/officeDocument/2006/relationships/hyperlink" Target="https://youtu.be/WUpDMi50zPs" TargetMode="External"/><Relationship Id="rId23" Type="http://schemas.openxmlformats.org/officeDocument/2006/relationships/hyperlink" Target="https://youtu.be/AcsrBCEJz-Y" TargetMode="External"/><Relationship Id="rId24" Type="http://schemas.openxmlformats.org/officeDocument/2006/relationships/hyperlink" Target="https://youtu.be/ryGzpGpTtIM" TargetMode="External"/><Relationship Id="rId25" Type="http://schemas.openxmlformats.org/officeDocument/2006/relationships/hyperlink" Target="https://youtu.be/sMnbx4dYlHY" TargetMode="External"/><Relationship Id="rId26" Type="http://schemas.openxmlformats.org/officeDocument/2006/relationships/hyperlink" Target="https://youtu.be/8FXPmYGIOs4" TargetMode="External"/><Relationship Id="rId27" Type="http://schemas.openxmlformats.org/officeDocument/2006/relationships/hyperlink" Target="https://youtu.be/XfkJ7wBT-PA" TargetMode="External"/><Relationship Id="rId28" Type="http://schemas.openxmlformats.org/officeDocument/2006/relationships/hyperlink" Target="https://youtu.be/VxGIiOTuAIs" TargetMode="External"/><Relationship Id="rId29" Type="http://schemas.openxmlformats.org/officeDocument/2006/relationships/hyperlink" Target="https://youtu.be/PxF7gDcaM6I" TargetMode="External"/><Relationship Id="rId30" Type="http://schemas.openxmlformats.org/officeDocument/2006/relationships/hyperlink" Target="https://youtu.be/Wgtw5lPKFXI" TargetMode="External"/><Relationship Id="rId31" Type="http://schemas.openxmlformats.org/officeDocument/2006/relationships/hyperlink" Target="https://youtu.be/eKEorBipbO8" TargetMode="External"/><Relationship Id="rId32" Type="http://schemas.openxmlformats.org/officeDocument/2006/relationships/hyperlink" Target="https://youtu.be/kvYFNs6In6Y" TargetMode="External"/><Relationship Id="rId33" Type="http://schemas.openxmlformats.org/officeDocument/2006/relationships/hyperlink" Target="https://youtu.be/2fkkWihW2Uk" TargetMode="External"/><Relationship Id="rId34" Type="http://schemas.openxmlformats.org/officeDocument/2006/relationships/hyperlink" Target="https://youtu.be/8FXPmYGIOs4" TargetMode="External"/><Relationship Id="rId35" Type="http://schemas.openxmlformats.org/officeDocument/2006/relationships/hyperlink" Target="https://youtu.be/NjoMoH51UZc" TargetMode="External"/><Relationship Id="rId36" Type="http://schemas.openxmlformats.org/officeDocument/2006/relationships/hyperlink" Target="https://youtu.be/guL3KKLsqsw" TargetMode="External"/><Relationship Id="rId37" Type="http://schemas.openxmlformats.org/officeDocument/2006/relationships/hyperlink" Target="https://youtu.be/HdjxMw9bumI" TargetMode="External"/><Relationship Id="rId38" Type="http://schemas.openxmlformats.org/officeDocument/2006/relationships/hyperlink" Target="https://youtu.be/d73e3QiMdSU" TargetMode="External"/><Relationship Id="rId39" Type="http://schemas.openxmlformats.org/officeDocument/2006/relationships/hyperlink" Target="https://youtu.be/8bTvHbrJ8Cg" TargetMode="External"/><Relationship Id="rId40" Type="http://schemas.openxmlformats.org/officeDocument/2006/relationships/hyperlink" Target="https://youtu.be/Bz6vexpZItw" TargetMode="External"/><Relationship Id="rId41" Type="http://schemas.openxmlformats.org/officeDocument/2006/relationships/hyperlink" Target="https://youtu.be/HdjxMw9bumI" TargetMode="External"/><Relationship Id="rId42" Type="http://schemas.openxmlformats.org/officeDocument/2006/relationships/hyperlink" Target="https://youtu.be/v3-HwZMThzQ" TargetMode="External"/><Relationship Id="rId43" Type="http://schemas.openxmlformats.org/officeDocument/2006/relationships/hyperlink" Target="https://youtu.be/ZSDpIpnlTbY" TargetMode="External"/><Relationship Id="rId44" Type="http://schemas.openxmlformats.org/officeDocument/2006/relationships/hyperlink" Target="https://youtu.be/AVYbTI73wSU" TargetMode="External"/><Relationship Id="rId45" Type="http://schemas.openxmlformats.org/officeDocument/2006/relationships/hyperlink" Target="https://youtu.be/OcI2GPB4y6A" TargetMode="External"/><Relationship Id="rId46" Type="http://schemas.openxmlformats.org/officeDocument/2006/relationships/hyperlink" Target="https://youtu.be/ZSDpIpnlTbY" TargetMode="External"/><Relationship Id="rId47" Type="http://schemas.openxmlformats.org/officeDocument/2006/relationships/hyperlink" Target="https://youtu.be/-5sZk8FTVag" TargetMode="External"/><Relationship Id="rId48" Type="http://schemas.openxmlformats.org/officeDocument/2006/relationships/hyperlink" Target="https://youtu.be/NasmLQOf30s" TargetMode="External"/><Relationship Id="rId49" Type="http://schemas.openxmlformats.org/officeDocument/2006/relationships/hyperlink" Target="https://youtu.be/CrWSFL01qV0" TargetMode="External"/><Relationship Id="rId50" Type="http://schemas.openxmlformats.org/officeDocument/2006/relationships/hyperlink" Target="https://youtu.be/b6uru1lYUeI" TargetMode="External"/><Relationship Id="rId51" Type="http://schemas.openxmlformats.org/officeDocument/2006/relationships/hyperlink" Target="https://youtu.be/sP1DzhT8Vzo" TargetMode="External"/><Relationship Id="rId52" Type="http://schemas.openxmlformats.org/officeDocument/2006/relationships/hyperlink" Target="https://youtu.be/WI0ZLkxJ6Zk" TargetMode="External"/><Relationship Id="rId53" Type="http://schemas.openxmlformats.org/officeDocument/2006/relationships/hyperlink" Target="https://youtu.be/0a8gjbn33rM" TargetMode="External"/><Relationship Id="rId54" Type="http://schemas.openxmlformats.org/officeDocument/2006/relationships/hyperlink" Target="https://youtu.be/Lic3gCS_bKo" TargetMode="External"/><Relationship Id="rId55" Type="http://schemas.openxmlformats.org/officeDocument/2006/relationships/hyperlink" Target="https://youtu.be/SchfetsZysM" TargetMode="External"/><Relationship Id="rId56" Type="http://schemas.openxmlformats.org/officeDocument/2006/relationships/hyperlink" Target="https://youtu.be/f5liqUk0ZTw" TargetMode="External"/><Relationship Id="rId57" Type="http://schemas.openxmlformats.org/officeDocument/2006/relationships/hyperlink" Target="https://youtu.be/MKhxRE2apWI" TargetMode="External"/><Relationship Id="rId58" Type="http://schemas.openxmlformats.org/officeDocument/2006/relationships/hyperlink" Target="https://youtu.be/uyU25DdONjo" TargetMode="External"/><Relationship Id="rId59" Type="http://schemas.openxmlformats.org/officeDocument/2006/relationships/hyperlink" Target="https://youtu.be/yGWEuxaaMNw" TargetMode="External"/><Relationship Id="rId60" Type="http://schemas.openxmlformats.org/officeDocument/2006/relationships/hyperlink" Target="https://youtu.be/ATRzwhk7UvY" TargetMode="External"/><Relationship Id="rId61" Type="http://schemas.openxmlformats.org/officeDocument/2006/relationships/hyperlink" Target="https://youtu.be/utY72MD-Ii4" TargetMode="External"/><Relationship Id="rId62" Type="http://schemas.openxmlformats.org/officeDocument/2006/relationships/hyperlink" Target="https://youtu.be/sbNEtMUjiMU" TargetMode="External"/><Relationship Id="rId63" Type="http://schemas.openxmlformats.org/officeDocument/2006/relationships/hyperlink" Target="https://youtu.be/AMQ6VeXV278" TargetMode="External"/><Relationship Id="rId64" Type="http://schemas.openxmlformats.org/officeDocument/2006/relationships/hyperlink" Target="https://youtu.be/lwO0V5FitAo" TargetMode="External"/><Relationship Id="rId65" Type="http://schemas.openxmlformats.org/officeDocument/2006/relationships/hyperlink" Target="https://youtu.be/PWvIYU_Z8z8" TargetMode="External"/><Relationship Id="rId66" Type="http://schemas.openxmlformats.org/officeDocument/2006/relationships/hyperlink" Target="https://youtu.be/hk63uUhkZH4" TargetMode="External"/><Relationship Id="rId67" Type="http://schemas.openxmlformats.org/officeDocument/2006/relationships/hyperlink" Target="https://youtu.be/r2GIY2ZmXPY" TargetMode="External"/><Relationship Id="rId68" Type="http://schemas.openxmlformats.org/officeDocument/2006/relationships/hyperlink" Target="https://youtu.be/3e-LZPHBA2M" TargetMode="External"/><Relationship Id="rId69" Type="http://schemas.openxmlformats.org/officeDocument/2006/relationships/hyperlink" Target="https://youtu.be/Oo7wuas5xNU" TargetMode="External"/><Relationship Id="rId70" Type="http://schemas.openxmlformats.org/officeDocument/2006/relationships/hyperlink" Target="https://youtu.be/AMQ6VeXV278" TargetMode="External"/><Relationship Id="rId71" Type="http://schemas.openxmlformats.org/officeDocument/2006/relationships/hyperlink" Target="https://youtu.be/M6PuutIm5h4" TargetMode="External"/><Relationship Id="rId72" Type="http://schemas.openxmlformats.org/officeDocument/2006/relationships/hyperlink" Target="https://youtu.be/n5bKzBZ7XuM" TargetMode="External"/><Relationship Id="rId73" Type="http://schemas.openxmlformats.org/officeDocument/2006/relationships/hyperlink" Target="https://youtu.be/EH2A8mZmM9M" TargetMode="External"/><Relationship Id="rId74" Type="http://schemas.openxmlformats.org/officeDocument/2006/relationships/hyperlink" Target="https://youtu.be/ekn_XqpALWU" TargetMode="External"/><Relationship Id="rId75" Type="http://schemas.openxmlformats.org/officeDocument/2006/relationships/hyperlink" Target="https://youtu.be/RjY5bZ4Bl8o" TargetMode="External"/><Relationship Id="rId76" Type="http://schemas.openxmlformats.org/officeDocument/2006/relationships/hyperlink" Target="https://youtu.be/qGv0UuzALJA" TargetMode="External"/><Relationship Id="rId77" Type="http://schemas.openxmlformats.org/officeDocument/2006/relationships/hyperlink" Target="https://youtu.be/-gr7KmTOrx0" TargetMode="External"/><Relationship Id="rId78" Type="http://schemas.openxmlformats.org/officeDocument/2006/relationships/hyperlink" Target="https://youtu.be/q6B8Cpvg3ak" TargetMode="External"/><Relationship Id="rId79" Type="http://schemas.openxmlformats.org/officeDocument/2006/relationships/hyperlink" Target="https://youtu.be/ktvsucLC_WY" TargetMode="External"/><Relationship Id="rId80" Type="http://schemas.openxmlformats.org/officeDocument/2006/relationships/hyperlink" Target="https://youtu.be/8V_G75YlV9o" TargetMode="External"/><Relationship Id="rId81" Type="http://schemas.openxmlformats.org/officeDocument/2006/relationships/hyperlink" Target="https://youtu.be/0BIgFKVnlBU" TargetMode="External"/><Relationship Id="rId82" Type="http://schemas.openxmlformats.org/officeDocument/2006/relationships/hyperlink" Target="https://youtu.be/Af9lRX4xsr0" TargetMode="External"/><Relationship Id="rId83" Type="http://schemas.openxmlformats.org/officeDocument/2006/relationships/hyperlink" Target="https://youtu.be/p8oAEuDO0pQ" TargetMode="External"/><Relationship Id="rId84" Type="http://schemas.openxmlformats.org/officeDocument/2006/relationships/hyperlink" Target="https://youtu.be/_uy6LsTBf84" TargetMode="External"/><Relationship Id="rId85" Type="http://schemas.openxmlformats.org/officeDocument/2006/relationships/hyperlink" Target="https://youtu.be/PhFYMf70GrQ" TargetMode="External"/><Relationship Id="rId86" Type="http://schemas.openxmlformats.org/officeDocument/2006/relationships/hyperlink" Target="https://youtu.be/8WpUFReBvdY" TargetMode="External"/><Relationship Id="rId87" Type="http://schemas.openxmlformats.org/officeDocument/2006/relationships/hyperlink" Target="https://youtu.be/Dvoe8Ib5D1o" TargetMode="External"/><Relationship Id="rId88" Type="http://schemas.openxmlformats.org/officeDocument/2006/relationships/hyperlink" Target="https://youtu.be/gxfpoKgKvGI" TargetMode="External"/><Relationship Id="rId89" Type="http://schemas.openxmlformats.org/officeDocument/2006/relationships/hyperlink" Target="https://youtu.be/rUm6k-cpKbA" TargetMode="External"/><Relationship Id="rId90" Type="http://schemas.openxmlformats.org/officeDocument/2006/relationships/hyperlink" Target="https://youtu.be/AdQlg3eZgpY" TargetMode="External"/><Relationship Id="rId91" Type="http://schemas.openxmlformats.org/officeDocument/2006/relationships/hyperlink" Target="https://youtu.be/KELriDAtqio" TargetMode="External"/><Relationship Id="rId92" Type="http://schemas.openxmlformats.org/officeDocument/2006/relationships/hyperlink" Target="https://youtu.be/iG18FO71R3w" TargetMode="External"/><Relationship Id="rId93" Type="http://schemas.openxmlformats.org/officeDocument/2006/relationships/hyperlink" Target="https://youtu.be/BcNHTv7Rw3c" TargetMode="External"/><Relationship Id="rId94" Type="http://schemas.openxmlformats.org/officeDocument/2006/relationships/hyperlink" Target="https://youtu.be/tOC8vfVAnus" TargetMode="External"/><Relationship Id="rId95" Type="http://schemas.openxmlformats.org/officeDocument/2006/relationships/hyperlink" Target="https://youtu.be/GgfKdVFfM28" TargetMode="External"/><Relationship Id="rId96" Type="http://schemas.openxmlformats.org/officeDocument/2006/relationships/hyperlink" Target="https://youtu.be/mkpKR_8z6GU" TargetMode="External"/><Relationship Id="rId97" Type="http://schemas.openxmlformats.org/officeDocument/2006/relationships/hyperlink" Target="https://youtu.be/YAMmhTexnS0" TargetMode="External"/><Relationship Id="rId98" Type="http://schemas.openxmlformats.org/officeDocument/2006/relationships/hyperlink" Target="https://youtu.be/gRdCV9p8sAU" TargetMode="External"/><Relationship Id="rId99" Type="http://schemas.openxmlformats.org/officeDocument/2006/relationships/hyperlink" Target="https://youtu.be/JFSU9X11wyY" TargetMode="External"/><Relationship Id="rId100" Type="http://schemas.openxmlformats.org/officeDocument/2006/relationships/hyperlink" Target="https://youtu.be/21_W5NEVTXg" TargetMode="External"/><Relationship Id="rId10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23.8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row>
    <row r="15" customFormat="false" ht="15" hidden="false" customHeight="false" outlineLevel="0" collapsed="false">
      <c r="A15" s="1" t="s">
        <v>12</v>
      </c>
    </row>
    <row r="16" customFormat="false" ht="23.8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23.85" hidden="false" customHeight="false" outlineLevel="0" collapsed="false">
      <c r="A19" s="2" t="s">
        <v>16</v>
      </c>
    </row>
    <row r="20" customFormat="false" ht="23.8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1" t="s">
        <v>19</v>
      </c>
    </row>
    <row r="24" customFormat="false" ht="35.05" hidden="false" customHeight="false" outlineLevel="0" collapsed="false">
      <c r="A24" s="2" t="s">
        <v>20</v>
      </c>
    </row>
    <row r="25" customFormat="false" ht="15" hidden="false" customHeight="false" outlineLevel="0" collapsed="false">
      <c r="A25" s="2" t="s">
        <v>21</v>
      </c>
    </row>
    <row r="26" customFormat="false" ht="15" hidden="false" customHeight="false" outlineLevel="0" collapsed="false">
      <c r="A26" s="2"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40"/>
    <col collapsed="false" customWidth="true" hidden="false" outlineLevel="0" max="4" min="4" style="0" width="7"/>
    <col collapsed="false" customWidth="true" hidden="false" outlineLevel="0" max="5" min="5" style="0" width="30"/>
    <col collapsed="false" customWidth="true" hidden="false" outlineLevel="0" max="6" min="6" style="0" width="44"/>
    <col collapsed="false" customWidth="true" hidden="false" outlineLevel="0" max="7" min="7" style="0" width="58"/>
    <col collapsed="false" customWidth="true" hidden="false" outlineLevel="0" max="8" min="8" style="0" width="26"/>
    <col collapsed="false" customWidth="true" hidden="false" outlineLevel="0" max="9" min="9" style="0" width="9"/>
    <col collapsed="false" customWidth="true" hidden="false" outlineLevel="0" max="10" min="10" style="0" width="16"/>
    <col collapsed="false" customWidth="true" hidden="false" outlineLevel="0" max="11" min="11" style="0" width="18"/>
    <col collapsed="false" customWidth="true" hidden="false" outlineLevel="0" max="12" min="12" style="0" width="11"/>
    <col collapsed="false" customWidth="true" hidden="false" outlineLevel="0" max="13" min="13" style="0" width="22"/>
    <col collapsed="false" customWidth="true" hidden="false" outlineLevel="0" max="15" min="14" style="0" width="8"/>
    <col collapsed="false" customWidth="true" hidden="false" outlineLevel="0" max="17" min="16" style="0" width="9"/>
    <col collapsed="false" customWidth="true" hidden="false" outlineLevel="0" max="19" min="18" style="0" width="10"/>
    <col collapsed="false" customWidth="true" hidden="false" outlineLevel="0" max="20" min="20" style="0" width="9"/>
    <col collapsed="false" customWidth="true" hidden="false" outlineLevel="0" max="21" min="21" style="0" width="50"/>
    <col collapsed="false" customWidth="true" hidden="false" outlineLevel="0" max="22" min="22" style="0" width="20"/>
    <col collapsed="false" customWidth="true" hidden="false" outlineLevel="0" max="24" min="23" style="0" width="11"/>
    <col collapsed="false" customWidth="true" hidden="false" outlineLevel="0" max="25" min="25" style="0" width="9"/>
    <col collapsed="false" customWidth="true" hidden="false" outlineLevel="0" max="26" min="26" style="0" width="8"/>
    <col collapsed="false" customWidth="true" hidden="false" outlineLevel="0" max="27" min="27" style="0" width="9"/>
    <col collapsed="false" customWidth="true" hidden="false" outlineLevel="0" max="28" min="28" style="0" width="26"/>
    <col collapsed="false" customWidth="true" hidden="false" outlineLevel="0" max="30" min="29" style="0" width="12"/>
    <col collapsed="false" customWidth="true" hidden="false" outlineLevel="0" max="31" min="31" style="0" width="24"/>
    <col collapsed="false" customWidth="true" hidden="false" outlineLevel="0" max="32" min="32" style="0" width="8"/>
  </cols>
  <sheetData>
    <row r="1" customFormat="false" ht="39.75" hidden="false" customHeight="true" outlineLevel="0" collapsed="false">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38</v>
      </c>
      <c r="Q1" s="3" t="s">
        <v>39</v>
      </c>
      <c r="R1" s="3" t="s">
        <v>40</v>
      </c>
      <c r="S1" s="3" t="s">
        <v>41</v>
      </c>
      <c r="T1" s="3" t="s">
        <v>42</v>
      </c>
      <c r="U1" s="3" t="s">
        <v>43</v>
      </c>
      <c r="V1" s="3" t="s">
        <v>44</v>
      </c>
      <c r="W1" s="3" t="s">
        <v>45</v>
      </c>
      <c r="X1" s="3" t="s">
        <v>46</v>
      </c>
      <c r="Y1" s="3" t="s">
        <v>47</v>
      </c>
      <c r="Z1" s="3" t="s">
        <v>48</v>
      </c>
      <c r="AA1" s="3" t="s">
        <v>49</v>
      </c>
      <c r="AB1" s="3" t="s">
        <v>50</v>
      </c>
      <c r="AC1" s="3" t="s">
        <v>51</v>
      </c>
      <c r="AD1" s="3" t="s">
        <v>52</v>
      </c>
      <c r="AE1" s="3"/>
      <c r="AF1" s="3" t="s">
        <v>53</v>
      </c>
    </row>
    <row r="2" customFormat="false" ht="26.85" hidden="false" customHeight="false" outlineLevel="0" collapsed="false">
      <c r="A2" s="4" t="n">
        <v>1</v>
      </c>
      <c r="B2" s="4" t="n">
        <f aca="false">ROUNDUP(A2/3,0)</f>
        <v>1</v>
      </c>
      <c r="C2" s="4" t="s">
        <v>54</v>
      </c>
      <c r="D2" s="4" t="s">
        <v>55</v>
      </c>
      <c r="E2" s="4" t="s">
        <v>56</v>
      </c>
      <c r="F2" s="5" t="s">
        <v>57</v>
      </c>
      <c r="G2" s="5" t="s">
        <v>58</v>
      </c>
      <c r="H2" s="4" t="s">
        <v>59</v>
      </c>
      <c r="I2" s="4" t="s">
        <v>60</v>
      </c>
      <c r="J2" s="4" t="s">
        <v>61</v>
      </c>
      <c r="K2" s="4" t="s">
        <v>62</v>
      </c>
      <c r="L2" s="4" t="s">
        <v>63</v>
      </c>
      <c r="M2" s="4" t="s">
        <v>64</v>
      </c>
      <c r="N2" s="4" t="n">
        <v>64</v>
      </c>
      <c r="O2" s="4" t="n">
        <v>34</v>
      </c>
      <c r="P2" s="4" t="n">
        <v>4</v>
      </c>
      <c r="Q2" s="4" t="n">
        <v>0</v>
      </c>
      <c r="R2" s="6" t="n">
        <v>2.91</v>
      </c>
      <c r="S2" s="6" t="n">
        <v>0.58</v>
      </c>
      <c r="T2" s="4" t="n">
        <v>5</v>
      </c>
      <c r="U2" s="5" t="s">
        <v>65</v>
      </c>
      <c r="V2" s="4" t="s">
        <v>66</v>
      </c>
      <c r="W2" s="7" t="n">
        <v>125000</v>
      </c>
      <c r="X2" s="7" t="n">
        <v>364000</v>
      </c>
      <c r="Y2" s="6" t="n">
        <f aca="false">IF(OR(W2="",W2=0,X2=""),"",X2/W2)</f>
        <v>2.912</v>
      </c>
      <c r="Z2" s="4" t="n">
        <v>5</v>
      </c>
      <c r="AA2" s="4" t="s">
        <v>67</v>
      </c>
      <c r="AB2" s="8" t="s">
        <v>68</v>
      </c>
      <c r="AC2" s="9" t="s">
        <v>69</v>
      </c>
      <c r="AD2" s="10"/>
      <c r="AE2" s="4"/>
      <c r="AF2" s="11" t="n">
        <f aca="false">IF(AC2&lt;&gt;"Published",COUNTIF($AC$2:AC2,"&lt;&gt;Published"),"")</f>
        <v>1</v>
      </c>
    </row>
    <row r="3" customFormat="false" ht="26.85" hidden="false" customHeight="false" outlineLevel="0" collapsed="false">
      <c r="A3" s="4" t="n">
        <v>2</v>
      </c>
      <c r="B3" s="4" t="n">
        <f aca="false">ROUNDUP(A3/3,0)</f>
        <v>1</v>
      </c>
      <c r="C3" s="4" t="s">
        <v>54</v>
      </c>
      <c r="D3" s="4" t="s">
        <v>70</v>
      </c>
      <c r="E3" s="4" t="s">
        <v>71</v>
      </c>
      <c r="F3" s="5" t="s">
        <v>72</v>
      </c>
      <c r="G3" s="5" t="s">
        <v>73</v>
      </c>
      <c r="H3" s="4" t="s">
        <v>74</v>
      </c>
      <c r="I3" s="4" t="s">
        <v>60</v>
      </c>
      <c r="J3" s="4" t="s">
        <v>55</v>
      </c>
      <c r="K3" s="4" t="s">
        <v>62</v>
      </c>
      <c r="L3" s="4" t="s">
        <v>63</v>
      </c>
      <c r="M3" s="4" t="s">
        <v>75</v>
      </c>
      <c r="N3" s="4" t="n">
        <v>87</v>
      </c>
      <c r="O3" s="4" t="n">
        <v>41</v>
      </c>
      <c r="P3" s="4" t="n">
        <v>7</v>
      </c>
      <c r="Q3" s="4" t="n">
        <v>0</v>
      </c>
      <c r="R3" s="6" t="n">
        <v>3.02</v>
      </c>
      <c r="S3" s="6" t="n">
        <v>0.72</v>
      </c>
      <c r="T3" s="4" t="n">
        <v>13</v>
      </c>
      <c r="U3" s="5" t="s">
        <v>76</v>
      </c>
      <c r="V3" s="4" t="s">
        <v>77</v>
      </c>
      <c r="W3" s="7" t="n">
        <v>60300</v>
      </c>
      <c r="X3" s="7" t="n">
        <v>182000</v>
      </c>
      <c r="Y3" s="6" t="n">
        <f aca="false">IF(OR(W3="",W3=0,X3=""),"",X3/W3)</f>
        <v>3.01824212271973</v>
      </c>
      <c r="Z3" s="4" t="n">
        <v>16</v>
      </c>
      <c r="AA3" s="4" t="s">
        <v>78</v>
      </c>
      <c r="AB3" s="8" t="s">
        <v>79</v>
      </c>
      <c r="AC3" s="9" t="s">
        <v>69</v>
      </c>
      <c r="AD3" s="10"/>
      <c r="AE3" s="4"/>
      <c r="AF3" s="11" t="n">
        <f aca="false">IF(AC3&lt;&gt;"Published",COUNTIF($AC$2:AC3,"&lt;&gt;Published"),"")</f>
        <v>2</v>
      </c>
    </row>
    <row r="4" customFormat="false" ht="26.85" hidden="false" customHeight="false" outlineLevel="0" collapsed="false">
      <c r="A4" s="4" t="n">
        <v>3</v>
      </c>
      <c r="B4" s="4" t="n">
        <f aca="false">ROUNDUP(A4/3,0)</f>
        <v>1</v>
      </c>
      <c r="C4" s="4" t="s">
        <v>54</v>
      </c>
      <c r="D4" s="4" t="s">
        <v>80</v>
      </c>
      <c r="E4" s="4" t="s">
        <v>56</v>
      </c>
      <c r="F4" s="5" t="s">
        <v>81</v>
      </c>
      <c r="G4" s="5" t="s">
        <v>82</v>
      </c>
      <c r="H4" s="4" t="s">
        <v>74</v>
      </c>
      <c r="I4" s="4" t="s">
        <v>60</v>
      </c>
      <c r="J4" s="4" t="s">
        <v>61</v>
      </c>
      <c r="K4" s="4" t="s">
        <v>83</v>
      </c>
      <c r="L4" s="4" t="s">
        <v>84</v>
      </c>
      <c r="M4" s="4" t="s">
        <v>75</v>
      </c>
      <c r="N4" s="4" t="n">
        <v>48</v>
      </c>
      <c r="O4" s="4" t="n">
        <v>30</v>
      </c>
      <c r="P4" s="4" t="n">
        <v>9</v>
      </c>
      <c r="Q4" s="4" t="n">
        <v>2</v>
      </c>
      <c r="R4" s="6" t="n">
        <v>35.24</v>
      </c>
      <c r="S4" s="6" t="n">
        <v>3.52</v>
      </c>
      <c r="T4" s="4" t="n">
        <v>9</v>
      </c>
      <c r="U4" s="5" t="s">
        <v>85</v>
      </c>
      <c r="V4" s="4" t="s">
        <v>86</v>
      </c>
      <c r="W4" s="7" t="n">
        <v>27500</v>
      </c>
      <c r="X4" s="7" t="n">
        <v>969000</v>
      </c>
      <c r="Y4" s="6" t="n">
        <f aca="false">IF(OR(W4="",W4=0,X4=""),"",X4/W4)</f>
        <v>35.2363636363636</v>
      </c>
      <c r="Z4" s="4" t="n">
        <v>10</v>
      </c>
      <c r="AA4" s="4" t="s">
        <v>87</v>
      </c>
      <c r="AB4" s="8" t="s">
        <v>88</v>
      </c>
      <c r="AC4" s="9" t="s">
        <v>69</v>
      </c>
      <c r="AD4" s="10"/>
      <c r="AE4" s="4"/>
      <c r="AF4" s="11" t="n">
        <f aca="false">IF(AC4&lt;&gt;"Published",COUNTIF($AC$2:AC4,"&lt;&gt;Published"),"")</f>
        <v>3</v>
      </c>
    </row>
    <row r="5" customFormat="false" ht="26.85" hidden="false" customHeight="false" outlineLevel="0" collapsed="false">
      <c r="A5" s="4" t="n">
        <v>4</v>
      </c>
      <c r="B5" s="4" t="n">
        <f aca="false">ROUNDUP(A5/3,0)</f>
        <v>2</v>
      </c>
      <c r="C5" s="4" t="s">
        <v>54</v>
      </c>
      <c r="D5" s="4" t="s">
        <v>89</v>
      </c>
      <c r="E5" s="4" t="s">
        <v>71</v>
      </c>
      <c r="F5" s="5" t="s">
        <v>90</v>
      </c>
      <c r="G5" s="5" t="s">
        <v>91</v>
      </c>
      <c r="H5" s="4" t="s">
        <v>74</v>
      </c>
      <c r="I5" s="4" t="s">
        <v>92</v>
      </c>
      <c r="J5" s="4" t="s">
        <v>70</v>
      </c>
      <c r="K5" s="4" t="s">
        <v>62</v>
      </c>
      <c r="L5" s="4" t="s">
        <v>63</v>
      </c>
      <c r="M5" s="4" t="s">
        <v>75</v>
      </c>
      <c r="N5" s="4" t="n">
        <v>228</v>
      </c>
      <c r="O5" s="4" t="n">
        <v>58</v>
      </c>
      <c r="P5" s="4" t="n">
        <v>28</v>
      </c>
      <c r="Q5" s="4" t="n">
        <v>0</v>
      </c>
      <c r="R5" s="6" t="n">
        <v>5.1</v>
      </c>
      <c r="S5" s="6" t="n">
        <v>0.7</v>
      </c>
      <c r="T5" s="4" t="n">
        <v>10.5</v>
      </c>
      <c r="U5" s="5" t="s">
        <v>93</v>
      </c>
      <c r="V5" s="4" t="s">
        <v>94</v>
      </c>
      <c r="W5" s="7" t="n">
        <v>76600</v>
      </c>
      <c r="X5" s="7" t="n">
        <v>391000</v>
      </c>
      <c r="Y5" s="6" t="n">
        <f aca="false">IF(OR(W5="",W5=0,X5=""),"",X5/W5)</f>
        <v>5.10443864229765</v>
      </c>
      <c r="Z5" s="4" t="n">
        <v>16</v>
      </c>
      <c r="AA5" s="4" t="s">
        <v>95</v>
      </c>
      <c r="AB5" s="8" t="s">
        <v>96</v>
      </c>
      <c r="AC5" s="9" t="s">
        <v>69</v>
      </c>
      <c r="AD5" s="10"/>
      <c r="AE5" s="4"/>
      <c r="AF5" s="11" t="n">
        <f aca="false">IF(AC5&lt;&gt;"Published",COUNTIF($AC$2:AC5,"&lt;&gt;Published"),"")</f>
        <v>4</v>
      </c>
    </row>
    <row r="6" customFormat="false" ht="26.85" hidden="false" customHeight="false" outlineLevel="0" collapsed="false">
      <c r="A6" s="4" t="n">
        <v>5</v>
      </c>
      <c r="B6" s="4" t="n">
        <f aca="false">ROUNDUP(A6/3,0)</f>
        <v>2</v>
      </c>
      <c r="C6" s="4" t="s">
        <v>54</v>
      </c>
      <c r="D6" s="4" t="s">
        <v>97</v>
      </c>
      <c r="E6" s="4" t="s">
        <v>56</v>
      </c>
      <c r="F6" s="5" t="s">
        <v>98</v>
      </c>
      <c r="G6" s="5" t="s">
        <v>99</v>
      </c>
      <c r="H6" s="4" t="s">
        <v>59</v>
      </c>
      <c r="I6" s="4" t="s">
        <v>100</v>
      </c>
      <c r="J6" s="4" t="s">
        <v>80</v>
      </c>
      <c r="K6" s="4" t="s">
        <v>83</v>
      </c>
      <c r="L6" s="4" t="s">
        <v>84</v>
      </c>
      <c r="M6" s="4" t="s">
        <v>75</v>
      </c>
      <c r="N6" s="4" t="n">
        <v>59</v>
      </c>
      <c r="O6" s="4" t="n">
        <v>33</v>
      </c>
      <c r="P6" s="4" t="n">
        <v>12</v>
      </c>
      <c r="Q6" s="4" t="n">
        <v>2</v>
      </c>
      <c r="R6" s="6" t="n">
        <v>23.33</v>
      </c>
      <c r="S6" s="6" t="n">
        <v>1.94</v>
      </c>
      <c r="T6" s="4" t="n">
        <v>13.5</v>
      </c>
      <c r="U6" s="5" t="s">
        <v>101</v>
      </c>
      <c r="V6" s="4" t="s">
        <v>102</v>
      </c>
      <c r="W6" s="7" t="n">
        <v>61400</v>
      </c>
      <c r="X6" s="7" t="n">
        <v>924000</v>
      </c>
      <c r="Y6" s="6" t="n">
        <f aca="false">IF(OR(W6="",W6=0,X6=""),"",X6/W6)</f>
        <v>15.0488599348534</v>
      </c>
      <c r="Z6" s="4" t="n">
        <v>15</v>
      </c>
      <c r="AA6" s="4" t="s">
        <v>103</v>
      </c>
      <c r="AB6" s="8" t="s">
        <v>104</v>
      </c>
      <c r="AC6" s="9" t="s">
        <v>69</v>
      </c>
      <c r="AD6" s="10"/>
      <c r="AE6" s="4"/>
      <c r="AF6" s="11" t="n">
        <f aca="false">IF(AC6&lt;&gt;"Published",COUNTIF($AC$2:AC6,"&lt;&gt;Published"),"")</f>
        <v>5</v>
      </c>
    </row>
    <row r="7" customFormat="false" ht="26.85" hidden="false" customHeight="false" outlineLevel="0" collapsed="false">
      <c r="A7" s="4" t="n">
        <v>6</v>
      </c>
      <c r="B7" s="4" t="n">
        <f aca="false">ROUNDUP(A7/3,0)</f>
        <v>2</v>
      </c>
      <c r="C7" s="4" t="s">
        <v>54</v>
      </c>
      <c r="D7" s="4" t="s">
        <v>105</v>
      </c>
      <c r="E7" s="4" t="s">
        <v>71</v>
      </c>
      <c r="F7" s="5" t="s">
        <v>106</v>
      </c>
      <c r="G7" s="5" t="s">
        <v>107</v>
      </c>
      <c r="H7" s="4" t="s">
        <v>74</v>
      </c>
      <c r="I7" s="4" t="s">
        <v>92</v>
      </c>
      <c r="J7" s="4" t="s">
        <v>108</v>
      </c>
      <c r="K7" s="4" t="s">
        <v>62</v>
      </c>
      <c r="L7" s="4" t="s">
        <v>63</v>
      </c>
      <c r="M7" s="4" t="s">
        <v>75</v>
      </c>
      <c r="N7" s="4" t="n">
        <v>69</v>
      </c>
      <c r="O7" s="4" t="n">
        <v>25</v>
      </c>
      <c r="P7" s="4" t="n">
        <v>16</v>
      </c>
      <c r="Q7" s="4" t="n">
        <v>1</v>
      </c>
      <c r="R7" s="6" t="n">
        <v>9.67</v>
      </c>
      <c r="S7" s="6" t="n">
        <v>1.25</v>
      </c>
      <c r="T7" s="4" t="n">
        <v>16</v>
      </c>
      <c r="U7" s="5" t="s">
        <v>109</v>
      </c>
      <c r="V7" s="4" t="s">
        <v>94</v>
      </c>
      <c r="W7" s="7" t="n">
        <v>76600</v>
      </c>
      <c r="X7" s="7" t="n">
        <v>741000</v>
      </c>
      <c r="Y7" s="6" t="n">
        <f aca="false">IF(OR(W7="",W7=0,X7=""),"",X7/W7)</f>
        <v>9.67362924281984</v>
      </c>
      <c r="Z7" s="4" t="n">
        <v>16</v>
      </c>
      <c r="AA7" s="4" t="s">
        <v>95</v>
      </c>
      <c r="AB7" s="8" t="s">
        <v>110</v>
      </c>
      <c r="AC7" s="9" t="s">
        <v>69</v>
      </c>
      <c r="AD7" s="10"/>
      <c r="AE7" s="4"/>
      <c r="AF7" s="11" t="n">
        <f aca="false">IF(AC7&lt;&gt;"Published",COUNTIF($AC$2:AC7,"&lt;&gt;Published"),"")</f>
        <v>6</v>
      </c>
    </row>
    <row r="8" customFormat="false" ht="26.85" hidden="false" customHeight="false" outlineLevel="0" collapsed="false">
      <c r="A8" s="4" t="n">
        <v>7</v>
      </c>
      <c r="B8" s="4" t="n">
        <f aca="false">ROUNDUP(A8/3,0)</f>
        <v>3</v>
      </c>
      <c r="C8" s="4" t="s">
        <v>54</v>
      </c>
      <c r="D8" s="4" t="s">
        <v>111</v>
      </c>
      <c r="E8" s="4" t="s">
        <v>56</v>
      </c>
      <c r="F8" s="5" t="s">
        <v>112</v>
      </c>
      <c r="G8" s="5" t="s">
        <v>113</v>
      </c>
      <c r="H8" s="4" t="s">
        <v>74</v>
      </c>
      <c r="I8" s="4" t="s">
        <v>92</v>
      </c>
      <c r="J8" s="4" t="s">
        <v>80</v>
      </c>
      <c r="K8" s="4" t="s">
        <v>83</v>
      </c>
      <c r="L8" s="4" t="s">
        <v>84</v>
      </c>
      <c r="M8" s="4" t="s">
        <v>64</v>
      </c>
      <c r="N8" s="4" t="n">
        <v>132</v>
      </c>
      <c r="O8" s="4" t="n">
        <v>49</v>
      </c>
      <c r="P8" s="4" t="n">
        <v>30</v>
      </c>
      <c r="Q8" s="4" t="n">
        <v>5</v>
      </c>
      <c r="R8" s="6" t="n">
        <v>41.15</v>
      </c>
      <c r="S8" s="6" t="n">
        <v>41.05</v>
      </c>
      <c r="T8" s="4" t="n">
        <v>6</v>
      </c>
      <c r="U8" s="5" t="s">
        <v>114</v>
      </c>
      <c r="V8" s="4" t="s">
        <v>115</v>
      </c>
      <c r="W8" s="7" t="n">
        <v>24300</v>
      </c>
      <c r="X8" s="7" t="n">
        <v>1000000</v>
      </c>
      <c r="Y8" s="6" t="n">
        <f aca="false">IF(OR(W8="",W8=0,X8=""),"",X8/W8)</f>
        <v>41.1522633744856</v>
      </c>
      <c r="Z8" s="4" t="n">
        <v>2</v>
      </c>
      <c r="AA8" s="4" t="s">
        <v>116</v>
      </c>
      <c r="AB8" s="8" t="s">
        <v>117</v>
      </c>
      <c r="AC8" s="9" t="s">
        <v>69</v>
      </c>
      <c r="AD8" s="10"/>
      <c r="AE8" s="4"/>
      <c r="AF8" s="11" t="n">
        <f aca="false">IF(AC8&lt;&gt;"Published",COUNTIF($AC$2:AC8,"&lt;&gt;Published"),"")</f>
        <v>7</v>
      </c>
    </row>
    <row r="9" customFormat="false" ht="26.85" hidden="false" customHeight="false" outlineLevel="0" collapsed="false">
      <c r="A9" s="4" t="n">
        <v>8</v>
      </c>
      <c r="B9" s="4" t="n">
        <f aca="false">ROUNDUP(A9/3,0)</f>
        <v>3</v>
      </c>
      <c r="C9" s="4" t="s">
        <v>54</v>
      </c>
      <c r="D9" s="4" t="s">
        <v>118</v>
      </c>
      <c r="E9" s="4" t="s">
        <v>71</v>
      </c>
      <c r="F9" s="5" t="s">
        <v>119</v>
      </c>
      <c r="G9" s="5" t="s">
        <v>120</v>
      </c>
      <c r="H9" s="4" t="s">
        <v>59</v>
      </c>
      <c r="I9" s="4" t="s">
        <v>60</v>
      </c>
      <c r="J9" s="4" t="s">
        <v>89</v>
      </c>
      <c r="K9" s="4" t="s">
        <v>62</v>
      </c>
      <c r="L9" s="4" t="s">
        <v>63</v>
      </c>
      <c r="M9" s="4" t="s">
        <v>75</v>
      </c>
      <c r="N9" s="4" t="n">
        <v>120</v>
      </c>
      <c r="O9" s="4" t="n">
        <v>45</v>
      </c>
      <c r="P9" s="4" t="n">
        <v>8</v>
      </c>
      <c r="Q9" s="4" t="n">
        <v>0</v>
      </c>
      <c r="R9" s="6" t="n">
        <v>4.92</v>
      </c>
      <c r="S9" s="6" t="n">
        <v>0.79</v>
      </c>
      <c r="T9" s="4" t="n">
        <v>11.5</v>
      </c>
      <c r="U9" s="5" t="s">
        <v>121</v>
      </c>
      <c r="V9" s="4" t="s">
        <v>122</v>
      </c>
      <c r="W9" s="7" t="n">
        <v>74100</v>
      </c>
      <c r="X9" s="7" t="n">
        <v>330000</v>
      </c>
      <c r="Y9" s="6" t="n">
        <f aca="false">IF(OR(W9="",W9=0,X9=""),"",X9/W9)</f>
        <v>4.45344129554656</v>
      </c>
      <c r="Z9" s="4" t="n">
        <v>6</v>
      </c>
      <c r="AA9" s="4" t="s">
        <v>123</v>
      </c>
      <c r="AB9" s="8" t="s">
        <v>124</v>
      </c>
      <c r="AC9" s="9" t="s">
        <v>69</v>
      </c>
      <c r="AD9" s="10"/>
      <c r="AE9" s="4"/>
      <c r="AF9" s="11" t="n">
        <f aca="false">IF(AC9&lt;&gt;"Published",COUNTIF($AC$2:AC9,"&lt;&gt;Published"),"")</f>
        <v>8</v>
      </c>
    </row>
    <row r="10" customFormat="false" ht="26.85" hidden="false" customHeight="false" outlineLevel="0" collapsed="false">
      <c r="A10" s="4" t="n">
        <v>9</v>
      </c>
      <c r="B10" s="4" t="n">
        <f aca="false">ROUNDUP(A10/3,0)</f>
        <v>3</v>
      </c>
      <c r="C10" s="4" t="s">
        <v>54</v>
      </c>
      <c r="D10" s="4" t="s">
        <v>125</v>
      </c>
      <c r="E10" s="4" t="s">
        <v>56</v>
      </c>
      <c r="F10" s="5" t="s">
        <v>126</v>
      </c>
      <c r="G10" s="5" t="s">
        <v>127</v>
      </c>
      <c r="H10" s="4" t="s">
        <v>74</v>
      </c>
      <c r="I10" s="4" t="s">
        <v>60</v>
      </c>
      <c r="J10" s="4" t="s">
        <v>55</v>
      </c>
      <c r="K10" s="4" t="s">
        <v>62</v>
      </c>
      <c r="L10" s="4" t="s">
        <v>84</v>
      </c>
      <c r="M10" s="4" t="s">
        <v>75</v>
      </c>
      <c r="N10" s="4" t="n">
        <v>107</v>
      </c>
      <c r="O10" s="4" t="n">
        <v>43</v>
      </c>
      <c r="P10" s="4" t="n">
        <v>18</v>
      </c>
      <c r="Q10" s="4" t="n">
        <v>1</v>
      </c>
      <c r="R10" s="6" t="n">
        <v>26.38</v>
      </c>
      <c r="S10" s="6" t="n">
        <v>5.28</v>
      </c>
      <c r="T10" s="4" t="n">
        <v>10</v>
      </c>
      <c r="U10" s="5" t="s">
        <v>128</v>
      </c>
      <c r="V10" s="4" t="s">
        <v>129</v>
      </c>
      <c r="W10" s="7" t="n">
        <v>79600</v>
      </c>
      <c r="X10" s="7" t="n">
        <v>2100000</v>
      </c>
      <c r="Y10" s="6" t="n">
        <f aca="false">IF(OR(W10="",W10=0,X10=""),"",X10/W10)</f>
        <v>26.3819095477387</v>
      </c>
      <c r="Z10" s="4" t="n">
        <v>5</v>
      </c>
      <c r="AA10" s="4" t="s">
        <v>130</v>
      </c>
      <c r="AB10" s="8" t="s">
        <v>131</v>
      </c>
      <c r="AC10" s="9" t="s">
        <v>69</v>
      </c>
      <c r="AD10" s="10"/>
      <c r="AE10" s="4"/>
      <c r="AF10" s="11" t="n">
        <f aca="false">IF(AC10&lt;&gt;"Published",COUNTIF($AC$2:AC10,"&lt;&gt;Published"),"")</f>
        <v>9</v>
      </c>
    </row>
    <row r="11" customFormat="false" ht="26.85" hidden="false" customHeight="false" outlineLevel="0" collapsed="false">
      <c r="A11" s="4" t="n">
        <v>10</v>
      </c>
      <c r="B11" s="4" t="n">
        <f aca="false">ROUNDUP(A11/3,0)</f>
        <v>4</v>
      </c>
      <c r="C11" s="4" t="s">
        <v>54</v>
      </c>
      <c r="D11" s="4" t="s">
        <v>132</v>
      </c>
      <c r="E11" s="4" t="s">
        <v>71</v>
      </c>
      <c r="F11" s="5" t="s">
        <v>133</v>
      </c>
      <c r="G11" s="5" t="s">
        <v>134</v>
      </c>
      <c r="H11" s="4" t="s">
        <v>74</v>
      </c>
      <c r="I11" s="4" t="s">
        <v>92</v>
      </c>
      <c r="J11" s="4" t="s">
        <v>118</v>
      </c>
      <c r="K11" s="4" t="s">
        <v>62</v>
      </c>
      <c r="L11" s="4" t="s">
        <v>84</v>
      </c>
      <c r="M11" s="4" t="s">
        <v>64</v>
      </c>
      <c r="N11" s="4" t="n">
        <v>286</v>
      </c>
      <c r="O11" s="4" t="n">
        <v>74</v>
      </c>
      <c r="P11" s="4" t="n">
        <v>18</v>
      </c>
      <c r="Q11" s="4" t="n">
        <v>4</v>
      </c>
      <c r="R11" s="6" t="n">
        <v>11.11</v>
      </c>
      <c r="S11" s="6" t="n">
        <v>3.13</v>
      </c>
      <c r="T11" s="4" t="n">
        <v>7</v>
      </c>
      <c r="U11" s="5" t="s">
        <v>135</v>
      </c>
      <c r="V11" s="4" t="s">
        <v>136</v>
      </c>
      <c r="W11" s="7" t="n">
        <v>24900</v>
      </c>
      <c r="X11" s="7" t="n">
        <v>234000</v>
      </c>
      <c r="Y11" s="6" t="n">
        <f aca="false">IF(OR(W11="",W11=0,X11=""),"",X11/W11)</f>
        <v>9.39759036144578</v>
      </c>
      <c r="Z11" s="4" t="n">
        <v>3</v>
      </c>
      <c r="AA11" s="4" t="s">
        <v>137</v>
      </c>
      <c r="AB11" s="8" t="s">
        <v>138</v>
      </c>
      <c r="AC11" s="9" t="s">
        <v>69</v>
      </c>
      <c r="AD11" s="10"/>
      <c r="AE11" s="4"/>
      <c r="AF11" s="11" t="n">
        <f aca="false">IF(AC11&lt;&gt;"Published",COUNTIF($AC$2:AC11,"&lt;&gt;Published"),"")</f>
        <v>10</v>
      </c>
    </row>
    <row r="12" customFormat="false" ht="26.85" hidden="false" customHeight="false" outlineLevel="0" collapsed="false">
      <c r="A12" s="4" t="n">
        <v>11</v>
      </c>
      <c r="B12" s="4" t="n">
        <f aca="false">ROUNDUP(A12/3,0)</f>
        <v>4</v>
      </c>
      <c r="C12" s="4" t="s">
        <v>54</v>
      </c>
      <c r="D12" s="4" t="s">
        <v>139</v>
      </c>
      <c r="E12" s="4" t="s">
        <v>56</v>
      </c>
      <c r="F12" s="5" t="s">
        <v>140</v>
      </c>
      <c r="G12" s="5" t="s">
        <v>141</v>
      </c>
      <c r="H12" s="4" t="s">
        <v>59</v>
      </c>
      <c r="I12" s="4" t="s">
        <v>100</v>
      </c>
      <c r="J12" s="4" t="s">
        <v>55</v>
      </c>
      <c r="K12" s="4" t="s">
        <v>62</v>
      </c>
      <c r="L12" s="4" t="s">
        <v>63</v>
      </c>
      <c r="M12" s="4" t="s">
        <v>75</v>
      </c>
      <c r="N12" s="4" t="n">
        <v>41</v>
      </c>
      <c r="O12" s="4" t="n">
        <v>25</v>
      </c>
      <c r="P12" s="4" t="n">
        <v>6</v>
      </c>
      <c r="Q12" s="4" t="n">
        <v>1</v>
      </c>
      <c r="R12" s="6" t="n">
        <v>5.95</v>
      </c>
      <c r="S12" s="6" t="n">
        <v>1.49</v>
      </c>
      <c r="T12" s="4" t="n">
        <v>15.5</v>
      </c>
      <c r="U12" s="5" t="s">
        <v>142</v>
      </c>
      <c r="V12" s="4" t="s">
        <v>129</v>
      </c>
      <c r="W12" s="7" t="n">
        <v>79600</v>
      </c>
      <c r="X12" s="7" t="n">
        <v>474000</v>
      </c>
      <c r="Y12" s="6" t="n">
        <f aca="false">IF(OR(W12="",W12=0,X12=""),"",X12/W12)</f>
        <v>5.95477386934673</v>
      </c>
      <c r="Z12" s="4" t="n">
        <v>4</v>
      </c>
      <c r="AA12" s="4" t="s">
        <v>143</v>
      </c>
      <c r="AB12" s="8" t="s">
        <v>144</v>
      </c>
      <c r="AC12" s="9" t="s">
        <v>69</v>
      </c>
      <c r="AD12" s="10"/>
      <c r="AE12" s="4"/>
      <c r="AF12" s="11" t="n">
        <f aca="false">IF(AC12&lt;&gt;"Published",COUNTIF($AC$2:AC12,"&lt;&gt;Published"),"")</f>
        <v>11</v>
      </c>
    </row>
    <row r="13" customFormat="false" ht="26.85" hidden="false" customHeight="false" outlineLevel="0" collapsed="false">
      <c r="A13" s="4" t="n">
        <v>12</v>
      </c>
      <c r="B13" s="4" t="n">
        <f aca="false">ROUNDUP(A13/3,0)</f>
        <v>4</v>
      </c>
      <c r="C13" s="4" t="s">
        <v>54</v>
      </c>
      <c r="D13" s="4" t="s">
        <v>145</v>
      </c>
      <c r="E13" s="4" t="s">
        <v>71</v>
      </c>
      <c r="F13" s="5" t="s">
        <v>146</v>
      </c>
      <c r="G13" s="5" t="s">
        <v>147</v>
      </c>
      <c r="H13" s="4" t="s">
        <v>59</v>
      </c>
      <c r="I13" s="4" t="s">
        <v>60</v>
      </c>
      <c r="J13" s="4" t="s">
        <v>118</v>
      </c>
      <c r="K13" s="4" t="s">
        <v>83</v>
      </c>
      <c r="L13" s="4" t="s">
        <v>84</v>
      </c>
      <c r="M13" s="4" t="s">
        <v>75</v>
      </c>
      <c r="N13" s="4" t="n">
        <v>189</v>
      </c>
      <c r="O13" s="4" t="n">
        <v>68</v>
      </c>
      <c r="P13" s="4" t="n">
        <v>13</v>
      </c>
      <c r="Q13" s="4" t="n">
        <v>3</v>
      </c>
      <c r="R13" s="6" t="n">
        <v>14.36</v>
      </c>
      <c r="S13" s="6" t="n">
        <v>7.07</v>
      </c>
      <c r="T13" s="4" t="n">
        <v>11</v>
      </c>
      <c r="U13" s="5" t="s">
        <v>148</v>
      </c>
      <c r="V13" s="4" t="s">
        <v>149</v>
      </c>
      <c r="W13" s="7" t="n">
        <v>72600</v>
      </c>
      <c r="X13" s="7" t="n">
        <v>513000</v>
      </c>
      <c r="Y13" s="6" t="n">
        <f aca="false">IF(OR(W13="",W13=0,X13=""),"",X13/W13)</f>
        <v>7.06611570247934</v>
      </c>
      <c r="Z13" s="4" t="n">
        <v>1</v>
      </c>
      <c r="AA13" s="4" t="s">
        <v>150</v>
      </c>
      <c r="AB13" s="8" t="s">
        <v>151</v>
      </c>
      <c r="AC13" s="9" t="s">
        <v>69</v>
      </c>
      <c r="AD13" s="10"/>
      <c r="AE13" s="4"/>
      <c r="AF13" s="11" t="n">
        <f aca="false">IF(AC13&lt;&gt;"Published",COUNTIF($AC$2:AC13,"&lt;&gt;Published"),"")</f>
        <v>12</v>
      </c>
    </row>
    <row r="14" customFormat="false" ht="26.85" hidden="false" customHeight="false" outlineLevel="0" collapsed="false">
      <c r="A14" s="4" t="n">
        <v>13</v>
      </c>
      <c r="B14" s="4" t="n">
        <f aca="false">ROUNDUP(A14/3,0)</f>
        <v>5</v>
      </c>
      <c r="C14" s="4" t="s">
        <v>54</v>
      </c>
      <c r="D14" s="4" t="s">
        <v>152</v>
      </c>
      <c r="E14" s="4" t="s">
        <v>56</v>
      </c>
      <c r="F14" s="5" t="s">
        <v>153</v>
      </c>
      <c r="G14" s="5" t="s">
        <v>154</v>
      </c>
      <c r="H14" s="4" t="s">
        <v>59</v>
      </c>
      <c r="I14" s="4" t="s">
        <v>60</v>
      </c>
      <c r="J14" s="4" t="s">
        <v>61</v>
      </c>
      <c r="K14" s="4" t="s">
        <v>83</v>
      </c>
      <c r="L14" s="4" t="s">
        <v>84</v>
      </c>
      <c r="M14" s="4" t="s">
        <v>75</v>
      </c>
      <c r="N14" s="4" t="n">
        <v>188</v>
      </c>
      <c r="O14" s="4" t="n">
        <v>68</v>
      </c>
      <c r="P14" s="4" t="n">
        <v>18</v>
      </c>
      <c r="Q14" s="4" t="n">
        <v>2</v>
      </c>
      <c r="R14" s="6" t="n">
        <v>8.19</v>
      </c>
      <c r="S14" s="6" t="n">
        <v>2.03</v>
      </c>
      <c r="T14" s="4" t="n">
        <v>10</v>
      </c>
      <c r="U14" s="5" t="s">
        <v>155</v>
      </c>
      <c r="V14" s="4" t="s">
        <v>156</v>
      </c>
      <c r="W14" s="7" t="n">
        <v>17700</v>
      </c>
      <c r="X14" s="7" t="n">
        <v>145000</v>
      </c>
      <c r="Y14" s="6" t="n">
        <f aca="false">IF(OR(W14="",W14=0,X14=""),"",X14/W14)</f>
        <v>8.19209039548023</v>
      </c>
      <c r="Z14" s="4" t="n">
        <v>5</v>
      </c>
      <c r="AA14" s="4" t="s">
        <v>157</v>
      </c>
      <c r="AB14" s="8" t="s">
        <v>158</v>
      </c>
      <c r="AC14" s="9" t="s">
        <v>69</v>
      </c>
      <c r="AD14" s="10"/>
      <c r="AE14" s="4"/>
      <c r="AF14" s="11" t="n">
        <f aca="false">IF(AC14&lt;&gt;"Published",COUNTIF($AC$2:AC14,"&lt;&gt;Published"),"")</f>
        <v>13</v>
      </c>
    </row>
    <row r="15" customFormat="false" ht="26.85" hidden="false" customHeight="false" outlineLevel="0" collapsed="false">
      <c r="A15" s="4" t="n">
        <v>14</v>
      </c>
      <c r="B15" s="4" t="n">
        <f aca="false">ROUNDUP(A15/3,0)</f>
        <v>5</v>
      </c>
      <c r="C15" s="4" t="s">
        <v>54</v>
      </c>
      <c r="D15" s="4" t="s">
        <v>159</v>
      </c>
      <c r="E15" s="4" t="s">
        <v>71</v>
      </c>
      <c r="F15" s="5" t="s">
        <v>160</v>
      </c>
      <c r="G15" s="5" t="s">
        <v>161</v>
      </c>
      <c r="H15" s="4" t="s">
        <v>74</v>
      </c>
      <c r="I15" s="4" t="s">
        <v>92</v>
      </c>
      <c r="J15" s="4" t="s">
        <v>145</v>
      </c>
      <c r="K15" s="4" t="s">
        <v>62</v>
      </c>
      <c r="L15" s="4" t="s">
        <v>63</v>
      </c>
      <c r="M15" s="4" t="s">
        <v>75</v>
      </c>
      <c r="N15" s="4" t="n">
        <v>79</v>
      </c>
      <c r="O15" s="4" t="n">
        <v>26</v>
      </c>
      <c r="P15" s="4" t="n">
        <v>1</v>
      </c>
      <c r="Q15" s="4" t="n">
        <v>0</v>
      </c>
      <c r="R15" s="6" t="n">
        <v>1.77</v>
      </c>
      <c r="S15" s="6" t="n">
        <v>0.16</v>
      </c>
      <c r="T15" s="4" t="n">
        <v>11</v>
      </c>
      <c r="U15" s="5" t="s">
        <v>162</v>
      </c>
      <c r="V15" s="4" t="s">
        <v>163</v>
      </c>
      <c r="W15" s="7" t="n">
        <v>18600</v>
      </c>
      <c r="X15" s="7" t="n">
        <v>33000</v>
      </c>
      <c r="Y15" s="6" t="n">
        <f aca="false">IF(OR(W15="",W15=0,X15=""),"",X15/W15)</f>
        <v>1.7741935483871</v>
      </c>
      <c r="Z15" s="4" t="n">
        <v>11</v>
      </c>
      <c r="AA15" s="4" t="s">
        <v>164</v>
      </c>
      <c r="AB15" s="8" t="s">
        <v>165</v>
      </c>
      <c r="AC15" s="9" t="s">
        <v>69</v>
      </c>
      <c r="AD15" s="10"/>
      <c r="AE15" s="4"/>
      <c r="AF15" s="11" t="n">
        <f aca="false">IF(AC15&lt;&gt;"Published",COUNTIF($AC$2:AC15,"&lt;&gt;Published"),"")</f>
        <v>14</v>
      </c>
    </row>
    <row r="16" customFormat="false" ht="26.85" hidden="false" customHeight="false" outlineLevel="0" collapsed="false">
      <c r="A16" s="4" t="n">
        <v>15</v>
      </c>
      <c r="B16" s="4" t="n">
        <f aca="false">ROUNDUP(A16/3,0)</f>
        <v>5</v>
      </c>
      <c r="C16" s="4" t="s">
        <v>54</v>
      </c>
      <c r="D16" s="4" t="s">
        <v>166</v>
      </c>
      <c r="E16" s="4" t="s">
        <v>56</v>
      </c>
      <c r="F16" s="5" t="s">
        <v>167</v>
      </c>
      <c r="G16" s="5" t="s">
        <v>168</v>
      </c>
      <c r="H16" s="4" t="s">
        <v>74</v>
      </c>
      <c r="I16" s="4" t="s">
        <v>60</v>
      </c>
      <c r="J16" s="4" t="s">
        <v>152</v>
      </c>
      <c r="K16" s="4" t="s">
        <v>62</v>
      </c>
      <c r="L16" s="4" t="s">
        <v>63</v>
      </c>
      <c r="M16" s="4" t="s">
        <v>75</v>
      </c>
      <c r="N16" s="4" t="n">
        <v>38</v>
      </c>
      <c r="O16" s="4" t="n">
        <v>17</v>
      </c>
      <c r="P16" s="4" t="n">
        <v>4</v>
      </c>
      <c r="Q16" s="4" t="n">
        <v>0</v>
      </c>
      <c r="R16" s="6" t="n">
        <v>2.06</v>
      </c>
      <c r="S16" s="6" t="n">
        <v>0.37</v>
      </c>
      <c r="T16" s="4" t="n">
        <v>13.5</v>
      </c>
      <c r="U16" s="5" t="s">
        <v>169</v>
      </c>
      <c r="V16" s="4" t="s">
        <v>170</v>
      </c>
      <c r="W16" s="7" t="n">
        <v>33000</v>
      </c>
      <c r="X16" s="7" t="n">
        <v>68000</v>
      </c>
      <c r="Y16" s="6" t="n">
        <f aca="false">IF(OR(W16="",W16=0,X16=""),"",X16/W16)</f>
        <v>2.06060606060606</v>
      </c>
      <c r="Z16" s="4" t="n">
        <v>13</v>
      </c>
      <c r="AA16" s="4" t="s">
        <v>171</v>
      </c>
      <c r="AB16" s="8" t="s">
        <v>172</v>
      </c>
      <c r="AC16" s="9" t="s">
        <v>69</v>
      </c>
      <c r="AD16" s="10"/>
      <c r="AE16" s="4"/>
      <c r="AF16" s="11" t="n">
        <f aca="false">IF(AC16&lt;&gt;"Published",COUNTIF($AC$2:AC16,"&lt;&gt;Published"),"")</f>
        <v>15</v>
      </c>
    </row>
    <row r="17" customFormat="false" ht="26.85" hidden="false" customHeight="false" outlineLevel="0" collapsed="false">
      <c r="A17" s="4" t="n">
        <v>16</v>
      </c>
      <c r="B17" s="4" t="n">
        <f aca="false">ROUNDUP(A17/3,0)</f>
        <v>6</v>
      </c>
      <c r="C17" s="4" t="s">
        <v>54</v>
      </c>
      <c r="D17" s="4" t="s">
        <v>173</v>
      </c>
      <c r="E17" s="4" t="s">
        <v>71</v>
      </c>
      <c r="F17" s="5" t="s">
        <v>174</v>
      </c>
      <c r="G17" s="5" t="s">
        <v>175</v>
      </c>
      <c r="H17" s="4" t="s">
        <v>74</v>
      </c>
      <c r="I17" s="4" t="s">
        <v>60</v>
      </c>
      <c r="J17" s="4" t="s">
        <v>176</v>
      </c>
      <c r="K17" s="4" t="s">
        <v>62</v>
      </c>
      <c r="L17" s="4" t="s">
        <v>84</v>
      </c>
      <c r="M17" s="4" t="s">
        <v>75</v>
      </c>
      <c r="N17" s="4" t="n">
        <v>47</v>
      </c>
      <c r="O17" s="4" t="n">
        <v>21</v>
      </c>
      <c r="P17" s="4" t="n">
        <v>6</v>
      </c>
      <c r="Q17" s="4" t="n">
        <v>1</v>
      </c>
      <c r="R17" s="6" t="n">
        <v>9.95</v>
      </c>
      <c r="S17" s="6" t="n">
        <v>1.66</v>
      </c>
      <c r="T17" s="4" t="n">
        <v>15</v>
      </c>
      <c r="U17" s="5" t="s">
        <v>177</v>
      </c>
      <c r="V17" s="4" t="s">
        <v>163</v>
      </c>
      <c r="W17" s="7" t="n">
        <v>18600</v>
      </c>
      <c r="X17" s="7" t="n">
        <v>185000</v>
      </c>
      <c r="Y17" s="6" t="n">
        <f aca="false">IF(OR(W17="",W17=0,X17=""),"",X17/W17)</f>
        <v>9.94623655913978</v>
      </c>
      <c r="Z17" s="4" t="n">
        <v>6</v>
      </c>
      <c r="AA17" s="4" t="s">
        <v>178</v>
      </c>
      <c r="AB17" s="8" t="s">
        <v>179</v>
      </c>
      <c r="AC17" s="9" t="s">
        <v>69</v>
      </c>
      <c r="AD17" s="10"/>
      <c r="AE17" s="4"/>
      <c r="AF17" s="11" t="n">
        <f aca="false">IF(AC17&lt;&gt;"Published",COUNTIF($AC$2:AC17,"&lt;&gt;Published"),"")</f>
        <v>16</v>
      </c>
    </row>
    <row r="18" customFormat="false" ht="26.85" hidden="false" customHeight="false" outlineLevel="0" collapsed="false">
      <c r="A18" s="4" t="n">
        <v>17</v>
      </c>
      <c r="B18" s="4" t="n">
        <f aca="false">ROUNDUP(A18/3,0)</f>
        <v>6</v>
      </c>
      <c r="C18" s="4" t="s">
        <v>54</v>
      </c>
      <c r="D18" s="4" t="s">
        <v>180</v>
      </c>
      <c r="E18" s="4" t="s">
        <v>56</v>
      </c>
      <c r="F18" s="5" t="s">
        <v>181</v>
      </c>
      <c r="G18" s="5" t="s">
        <v>182</v>
      </c>
      <c r="H18" s="4" t="s">
        <v>74</v>
      </c>
      <c r="I18" s="4" t="s">
        <v>92</v>
      </c>
      <c r="J18" s="4" t="s">
        <v>166</v>
      </c>
      <c r="K18" s="4" t="s">
        <v>62</v>
      </c>
      <c r="L18" s="4" t="s">
        <v>84</v>
      </c>
      <c r="M18" s="4" t="s">
        <v>75</v>
      </c>
      <c r="N18" s="4" t="n">
        <v>107</v>
      </c>
      <c r="O18" s="4" t="n">
        <v>32</v>
      </c>
      <c r="P18" s="4" t="n">
        <v>16</v>
      </c>
      <c r="Q18" s="4" t="n">
        <v>1</v>
      </c>
      <c r="R18" s="6" t="n">
        <v>6.1</v>
      </c>
      <c r="S18" s="6" t="n">
        <v>2.03</v>
      </c>
      <c r="T18" s="4" t="n">
        <v>12</v>
      </c>
      <c r="U18" s="5" t="s">
        <v>183</v>
      </c>
      <c r="V18" s="4" t="s">
        <v>94</v>
      </c>
      <c r="W18" s="7" t="n">
        <v>76600</v>
      </c>
      <c r="X18" s="7" t="n">
        <v>402000</v>
      </c>
      <c r="Y18" s="6" t="n">
        <f aca="false">IF(OR(W18="",W18=0,X18=""),"",X18/W18)</f>
        <v>5.24804177545692</v>
      </c>
      <c r="Z18" s="4" t="n">
        <v>17</v>
      </c>
      <c r="AA18" s="4" t="s">
        <v>184</v>
      </c>
      <c r="AB18" s="8" t="s">
        <v>185</v>
      </c>
      <c r="AC18" s="9" t="s">
        <v>69</v>
      </c>
      <c r="AD18" s="10"/>
      <c r="AE18" s="4"/>
      <c r="AF18" s="11" t="n">
        <f aca="false">IF(AC18&lt;&gt;"Published",COUNTIF($AC$2:AC18,"&lt;&gt;Published"),"")</f>
        <v>17</v>
      </c>
    </row>
    <row r="19" customFormat="false" ht="26.85" hidden="false" customHeight="false" outlineLevel="0" collapsed="false">
      <c r="A19" s="4" t="n">
        <v>18</v>
      </c>
      <c r="B19" s="4" t="n">
        <f aca="false">ROUNDUP(A19/3,0)</f>
        <v>6</v>
      </c>
      <c r="C19" s="4" t="s">
        <v>54</v>
      </c>
      <c r="D19" s="4" t="s">
        <v>186</v>
      </c>
      <c r="E19" s="4" t="s">
        <v>71</v>
      </c>
      <c r="F19" s="5" t="s">
        <v>187</v>
      </c>
      <c r="G19" s="5" t="s">
        <v>188</v>
      </c>
      <c r="H19" s="4" t="s">
        <v>59</v>
      </c>
      <c r="I19" s="4" t="s">
        <v>60</v>
      </c>
      <c r="J19" s="4" t="s">
        <v>89</v>
      </c>
      <c r="K19" s="4" t="s">
        <v>62</v>
      </c>
      <c r="L19" s="4" t="s">
        <v>63</v>
      </c>
      <c r="M19" s="4" t="s">
        <v>75</v>
      </c>
      <c r="N19" s="4" t="n">
        <v>77</v>
      </c>
      <c r="O19" s="4" t="n">
        <v>31</v>
      </c>
      <c r="P19" s="4" t="n">
        <v>5</v>
      </c>
      <c r="Q19" s="4" t="n">
        <v>0</v>
      </c>
      <c r="R19" s="6" t="n">
        <v>3.09</v>
      </c>
      <c r="S19" s="6" t="n">
        <v>1.03</v>
      </c>
      <c r="T19" s="4" t="n">
        <v>12</v>
      </c>
      <c r="U19" s="5" t="s">
        <v>189</v>
      </c>
      <c r="V19" s="4" t="s">
        <v>190</v>
      </c>
      <c r="W19" s="7" t="n">
        <v>35600</v>
      </c>
      <c r="X19" s="7" t="n">
        <v>87000</v>
      </c>
      <c r="Y19" s="6" t="n">
        <f aca="false">IF(OR(W19="",W19=0,X19=""),"",X19/W19)</f>
        <v>2.4438202247191</v>
      </c>
      <c r="Z19" s="4" t="n">
        <v>12</v>
      </c>
      <c r="AA19" s="4" t="s">
        <v>191</v>
      </c>
      <c r="AB19" s="8" t="s">
        <v>192</v>
      </c>
      <c r="AC19" s="9" t="s">
        <v>69</v>
      </c>
      <c r="AD19" s="10"/>
      <c r="AE19" s="4"/>
      <c r="AF19" s="11" t="n">
        <f aca="false">IF(AC19&lt;&gt;"Published",COUNTIF($AC$2:AC19,"&lt;&gt;Published"),"")</f>
        <v>18</v>
      </c>
    </row>
    <row r="20" customFormat="false" ht="26.85" hidden="false" customHeight="false" outlineLevel="0" collapsed="false">
      <c r="A20" s="4" t="n">
        <v>19</v>
      </c>
      <c r="B20" s="4" t="n">
        <f aca="false">ROUNDUP(A20/3,0)</f>
        <v>7</v>
      </c>
      <c r="C20" s="4" t="s">
        <v>54</v>
      </c>
      <c r="D20" s="4" t="s">
        <v>193</v>
      </c>
      <c r="E20" s="4" t="s">
        <v>56</v>
      </c>
      <c r="F20" s="5" t="s">
        <v>194</v>
      </c>
      <c r="G20" s="5" t="s">
        <v>195</v>
      </c>
      <c r="H20" s="4" t="s">
        <v>59</v>
      </c>
      <c r="I20" s="4" t="s">
        <v>100</v>
      </c>
      <c r="J20" s="4" t="s">
        <v>166</v>
      </c>
      <c r="K20" s="4" t="s">
        <v>83</v>
      </c>
      <c r="L20" s="4" t="s">
        <v>84</v>
      </c>
      <c r="M20" s="4" t="s">
        <v>75</v>
      </c>
      <c r="N20" s="4" t="n">
        <v>122</v>
      </c>
      <c r="O20" s="4" t="n">
        <v>47</v>
      </c>
      <c r="P20" s="4" t="n">
        <v>9</v>
      </c>
      <c r="Q20" s="4" t="n">
        <v>1</v>
      </c>
      <c r="R20" s="6" t="n">
        <v>16.82</v>
      </c>
      <c r="S20" s="6" t="n">
        <v>2.1</v>
      </c>
      <c r="T20" s="4" t="n">
        <v>10</v>
      </c>
      <c r="U20" s="5" t="s">
        <v>196</v>
      </c>
      <c r="V20" s="4" t="s">
        <v>197</v>
      </c>
      <c r="W20" s="7" t="n">
        <v>107000</v>
      </c>
      <c r="X20" s="7" t="n">
        <v>1800000</v>
      </c>
      <c r="Y20" s="6" t="n">
        <f aca="false">IF(OR(W20="",W20=0,X20=""),"",X20/W20)</f>
        <v>16.8224299065421</v>
      </c>
      <c r="Z20" s="4" t="n">
        <v>8</v>
      </c>
      <c r="AA20" s="4" t="s">
        <v>198</v>
      </c>
      <c r="AB20" s="8" t="s">
        <v>199</v>
      </c>
      <c r="AC20" s="9" t="s">
        <v>69</v>
      </c>
      <c r="AD20" s="10"/>
      <c r="AE20" s="4"/>
      <c r="AF20" s="11" t="n">
        <f aca="false">IF(AC20&lt;&gt;"Published",COUNTIF($AC$2:AC20,"&lt;&gt;Published"),"")</f>
        <v>19</v>
      </c>
    </row>
    <row r="21" customFormat="false" ht="26.85" hidden="false" customHeight="false" outlineLevel="0" collapsed="false">
      <c r="A21" s="4" t="n">
        <v>20</v>
      </c>
      <c r="B21" s="4" t="n">
        <f aca="false">ROUNDUP(A21/3,0)</f>
        <v>7</v>
      </c>
      <c r="C21" s="4" t="s">
        <v>54</v>
      </c>
      <c r="D21" s="4" t="s">
        <v>200</v>
      </c>
      <c r="E21" s="4" t="s">
        <v>71</v>
      </c>
      <c r="F21" s="5" t="s">
        <v>201</v>
      </c>
      <c r="G21" s="5" t="s">
        <v>202</v>
      </c>
      <c r="H21" s="4" t="s">
        <v>74</v>
      </c>
      <c r="I21" s="4" t="s">
        <v>60</v>
      </c>
      <c r="J21" s="4" t="s">
        <v>186</v>
      </c>
      <c r="K21" s="4" t="s">
        <v>62</v>
      </c>
      <c r="L21" s="4" t="s">
        <v>84</v>
      </c>
      <c r="M21" s="4" t="s">
        <v>75</v>
      </c>
      <c r="N21" s="4" t="n">
        <v>36</v>
      </c>
      <c r="O21" s="4" t="n">
        <v>24</v>
      </c>
      <c r="P21" s="4" t="n">
        <v>5</v>
      </c>
      <c r="Q21" s="4" t="n">
        <v>2</v>
      </c>
      <c r="R21" s="6" t="n">
        <v>133.41</v>
      </c>
      <c r="S21" s="6" t="n">
        <v>33.35</v>
      </c>
      <c r="T21" s="4" t="n">
        <v>16</v>
      </c>
      <c r="U21" s="5" t="s">
        <v>203</v>
      </c>
      <c r="V21" s="4" t="s">
        <v>204</v>
      </c>
      <c r="W21" s="7" t="n">
        <v>907</v>
      </c>
      <c r="X21" s="7" t="n">
        <v>121000</v>
      </c>
      <c r="Y21" s="6" t="n">
        <f aca="false">IF(OR(W21="",W21=0,X21=""),"",X21/W21)</f>
        <v>133.406835722161</v>
      </c>
      <c r="Z21" s="4" t="n">
        <v>4</v>
      </c>
      <c r="AA21" s="4" t="s">
        <v>205</v>
      </c>
      <c r="AB21" s="8" t="s">
        <v>206</v>
      </c>
      <c r="AC21" s="9" t="s">
        <v>69</v>
      </c>
      <c r="AD21" s="10"/>
      <c r="AE21" s="4"/>
      <c r="AF21" s="11" t="n">
        <f aca="false">IF(AC21&lt;&gt;"Published",COUNTIF($AC$2:AC21,"&lt;&gt;Published"),"")</f>
        <v>20</v>
      </c>
    </row>
    <row r="22" customFormat="false" ht="26.85" hidden="false" customHeight="false" outlineLevel="0" collapsed="false">
      <c r="A22" s="4" t="n">
        <v>21</v>
      </c>
      <c r="B22" s="4" t="n">
        <f aca="false">ROUNDUP(A22/3,0)</f>
        <v>7</v>
      </c>
      <c r="C22" s="4" t="s">
        <v>54</v>
      </c>
      <c r="D22" s="4" t="s">
        <v>207</v>
      </c>
      <c r="E22" s="4" t="s">
        <v>56</v>
      </c>
      <c r="F22" s="5" t="s">
        <v>208</v>
      </c>
      <c r="G22" s="5" t="s">
        <v>209</v>
      </c>
      <c r="H22" s="4" t="s">
        <v>74</v>
      </c>
      <c r="I22" s="4" t="s">
        <v>92</v>
      </c>
      <c r="J22" s="4" t="s">
        <v>210</v>
      </c>
      <c r="K22" s="4" t="s">
        <v>62</v>
      </c>
      <c r="L22" s="4" t="s">
        <v>84</v>
      </c>
      <c r="M22" s="4" t="s">
        <v>75</v>
      </c>
      <c r="N22" s="4" t="n">
        <v>51</v>
      </c>
      <c r="O22" s="4" t="n">
        <v>24</v>
      </c>
      <c r="P22" s="4" t="n">
        <v>11</v>
      </c>
      <c r="Q22" s="4" t="n">
        <v>1</v>
      </c>
      <c r="R22" s="6" t="n">
        <v>26.38</v>
      </c>
      <c r="S22" s="6" t="n">
        <v>5.28</v>
      </c>
      <c r="T22" s="4" t="n">
        <v>10</v>
      </c>
      <c r="U22" s="5" t="s">
        <v>128</v>
      </c>
      <c r="V22" s="4" t="s">
        <v>129</v>
      </c>
      <c r="W22" s="7" t="n">
        <v>79600</v>
      </c>
      <c r="X22" s="7" t="n">
        <v>2100000</v>
      </c>
      <c r="Y22" s="6" t="n">
        <f aca="false">IF(OR(W22="",W22=0,X22=""),"",X22/W22)</f>
        <v>26.3819095477387</v>
      </c>
      <c r="Z22" s="4" t="n">
        <v>5</v>
      </c>
      <c r="AA22" s="4" t="s">
        <v>130</v>
      </c>
      <c r="AB22" s="8" t="s">
        <v>131</v>
      </c>
      <c r="AC22" s="9" t="s">
        <v>69</v>
      </c>
      <c r="AD22" s="10"/>
      <c r="AE22" s="4"/>
      <c r="AF22" s="11" t="n">
        <f aca="false">IF(AC22&lt;&gt;"Published",COUNTIF($AC$2:AC22,"&lt;&gt;Published"),"")</f>
        <v>21</v>
      </c>
    </row>
    <row r="23" customFormat="false" ht="26.85" hidden="false" customHeight="false" outlineLevel="0" collapsed="false">
      <c r="A23" s="4" t="n">
        <v>22</v>
      </c>
      <c r="B23" s="4" t="n">
        <f aca="false">ROUNDUP(A23/3,0)</f>
        <v>8</v>
      </c>
      <c r="C23" s="4" t="s">
        <v>54</v>
      </c>
      <c r="D23" s="4" t="s">
        <v>211</v>
      </c>
      <c r="E23" s="4" t="s">
        <v>71</v>
      </c>
      <c r="F23" s="5" t="s">
        <v>212</v>
      </c>
      <c r="G23" s="5" t="s">
        <v>213</v>
      </c>
      <c r="H23" s="4" t="s">
        <v>74</v>
      </c>
      <c r="I23" s="4" t="s">
        <v>92</v>
      </c>
      <c r="J23" s="4" t="s">
        <v>214</v>
      </c>
      <c r="K23" s="4" t="s">
        <v>215</v>
      </c>
      <c r="L23" s="4" t="s">
        <v>84</v>
      </c>
      <c r="M23" s="4" t="s">
        <v>75</v>
      </c>
      <c r="N23" s="4" t="n">
        <v>38</v>
      </c>
      <c r="O23" s="4" t="n">
        <v>21</v>
      </c>
      <c r="P23" s="4" t="n">
        <v>6</v>
      </c>
      <c r="Q23" s="4" t="n">
        <v>1</v>
      </c>
      <c r="R23" s="6" t="n">
        <v>9.7</v>
      </c>
      <c r="S23" s="6" t="n">
        <v>1.64</v>
      </c>
      <c r="T23" s="4" t="n">
        <v>12</v>
      </c>
      <c r="U23" s="5" t="s">
        <v>216</v>
      </c>
      <c r="V23" s="4" t="s">
        <v>94</v>
      </c>
      <c r="W23" s="7" t="n">
        <v>76600</v>
      </c>
      <c r="X23" s="7" t="n">
        <v>641000</v>
      </c>
      <c r="Y23" s="6" t="n">
        <f aca="false">IF(OR(W23="",W23=0,X23=""),"",X23/W23)</f>
        <v>8.36814621409922</v>
      </c>
      <c r="Z23" s="4" t="n">
        <v>16</v>
      </c>
      <c r="AA23" s="4" t="s">
        <v>95</v>
      </c>
      <c r="AB23" s="8" t="s">
        <v>217</v>
      </c>
      <c r="AC23" s="9" t="s">
        <v>69</v>
      </c>
      <c r="AD23" s="10"/>
      <c r="AE23" s="4"/>
      <c r="AF23" s="11" t="n">
        <f aca="false">IF(AC23&lt;&gt;"Published",COUNTIF($AC$2:AC23,"&lt;&gt;Published"),"")</f>
        <v>22</v>
      </c>
    </row>
    <row r="24" customFormat="false" ht="26.85" hidden="false" customHeight="false" outlineLevel="0" collapsed="false">
      <c r="A24" s="4" t="n">
        <v>23</v>
      </c>
      <c r="B24" s="4" t="n">
        <f aca="false">ROUNDUP(A24/3,0)</f>
        <v>8</v>
      </c>
      <c r="C24" s="4" t="s">
        <v>54</v>
      </c>
      <c r="D24" s="4" t="s">
        <v>218</v>
      </c>
      <c r="E24" s="4" t="s">
        <v>56</v>
      </c>
      <c r="F24" s="5" t="s">
        <v>219</v>
      </c>
      <c r="G24" s="5" t="s">
        <v>220</v>
      </c>
      <c r="H24" s="4" t="s">
        <v>74</v>
      </c>
      <c r="I24" s="4" t="s">
        <v>60</v>
      </c>
      <c r="J24" s="4" t="s">
        <v>193</v>
      </c>
      <c r="K24" s="4" t="s">
        <v>221</v>
      </c>
      <c r="L24" s="4" t="s">
        <v>63</v>
      </c>
      <c r="M24" s="4" t="s">
        <v>75</v>
      </c>
      <c r="N24" s="4" t="n">
        <v>31</v>
      </c>
      <c r="O24" s="4" t="n">
        <v>18</v>
      </c>
      <c r="P24" s="4" t="n">
        <v>4</v>
      </c>
      <c r="Q24" s="4" t="n">
        <v>0</v>
      </c>
      <c r="R24" s="6" t="n">
        <v>5</v>
      </c>
      <c r="S24" s="6" t="n">
        <v>0.5</v>
      </c>
      <c r="T24" s="4" t="n">
        <v>15</v>
      </c>
      <c r="U24" s="5" t="s">
        <v>222</v>
      </c>
      <c r="V24" s="4" t="s">
        <v>163</v>
      </c>
      <c r="W24" s="7" t="n">
        <v>18600</v>
      </c>
      <c r="X24" s="7" t="n">
        <v>93000</v>
      </c>
      <c r="Y24" s="6" t="n">
        <f aca="false">IF(OR(W24="",W24=0,X24=""),"",X24/W24)</f>
        <v>5</v>
      </c>
      <c r="Z24" s="4" t="n">
        <v>10</v>
      </c>
      <c r="AA24" s="4" t="s">
        <v>223</v>
      </c>
      <c r="AB24" s="8" t="s">
        <v>224</v>
      </c>
      <c r="AC24" s="9" t="s">
        <v>69</v>
      </c>
      <c r="AD24" s="10"/>
      <c r="AE24" s="4"/>
      <c r="AF24" s="11" t="n">
        <f aca="false">IF(AC24&lt;&gt;"Published",COUNTIF($AC$2:AC24,"&lt;&gt;Published"),"")</f>
        <v>23</v>
      </c>
    </row>
    <row r="25" customFormat="false" ht="26.85" hidden="false" customHeight="false" outlineLevel="0" collapsed="false">
      <c r="A25" s="4" t="n">
        <v>24</v>
      </c>
      <c r="B25" s="4" t="n">
        <f aca="false">ROUNDUP(A25/3,0)</f>
        <v>8</v>
      </c>
      <c r="C25" s="4" t="s">
        <v>54</v>
      </c>
      <c r="D25" s="4" t="s">
        <v>225</v>
      </c>
      <c r="E25" s="4" t="s">
        <v>71</v>
      </c>
      <c r="F25" s="5" t="s">
        <v>226</v>
      </c>
      <c r="G25" s="5" t="s">
        <v>227</v>
      </c>
      <c r="H25" s="4" t="s">
        <v>74</v>
      </c>
      <c r="I25" s="4" t="s">
        <v>60</v>
      </c>
      <c r="J25" s="4" t="s">
        <v>211</v>
      </c>
      <c r="K25" s="4" t="s">
        <v>228</v>
      </c>
      <c r="L25" s="4" t="s">
        <v>84</v>
      </c>
      <c r="M25" s="4" t="s">
        <v>75</v>
      </c>
      <c r="N25" s="4" t="n">
        <v>73</v>
      </c>
      <c r="O25" s="4" t="n">
        <v>30</v>
      </c>
      <c r="P25" s="4" t="n">
        <v>14</v>
      </c>
      <c r="Q25" s="4" t="n">
        <v>1</v>
      </c>
      <c r="R25" s="6" t="n">
        <v>10</v>
      </c>
      <c r="S25" s="6" t="n">
        <v>1.67</v>
      </c>
      <c r="T25" s="4" t="n">
        <v>16</v>
      </c>
      <c r="U25" s="5" t="s">
        <v>229</v>
      </c>
      <c r="V25" s="4" t="s">
        <v>94</v>
      </c>
      <c r="W25" s="7" t="n">
        <v>76600</v>
      </c>
      <c r="X25" s="7" t="n">
        <v>397000</v>
      </c>
      <c r="Y25" s="6" t="n">
        <f aca="false">IF(OR(W25="",W25=0,X25=""),"",X25/W25)</f>
        <v>5.18276762402089</v>
      </c>
      <c r="Z25" s="4" t="n">
        <v>16</v>
      </c>
      <c r="AA25" s="4" t="s">
        <v>230</v>
      </c>
      <c r="AB25" s="8" t="s">
        <v>231</v>
      </c>
      <c r="AC25" s="9" t="s">
        <v>69</v>
      </c>
      <c r="AD25" s="10"/>
      <c r="AE25" s="4"/>
      <c r="AF25" s="11" t="n">
        <f aca="false">IF(AC25&lt;&gt;"Published",COUNTIF($AC$2:AC25,"&lt;&gt;Published"),"")</f>
        <v>24</v>
      </c>
    </row>
    <row r="26" customFormat="false" ht="26.85" hidden="false" customHeight="false" outlineLevel="0" collapsed="false">
      <c r="A26" s="4" t="n">
        <v>25</v>
      </c>
      <c r="B26" s="4" t="n">
        <f aca="false">ROUNDUP(A26/3,0)</f>
        <v>9</v>
      </c>
      <c r="C26" s="4" t="s">
        <v>232</v>
      </c>
      <c r="D26" s="4" t="s">
        <v>233</v>
      </c>
      <c r="E26" s="4" t="s">
        <v>56</v>
      </c>
      <c r="F26" s="5" t="s">
        <v>234</v>
      </c>
      <c r="G26" s="5" t="s">
        <v>235</v>
      </c>
      <c r="H26" s="4" t="s">
        <v>74</v>
      </c>
      <c r="I26" s="4" t="s">
        <v>60</v>
      </c>
      <c r="J26" s="4" t="s">
        <v>152</v>
      </c>
      <c r="K26" s="4" t="s">
        <v>83</v>
      </c>
      <c r="L26" s="4" t="s">
        <v>84</v>
      </c>
      <c r="M26" s="4" t="s">
        <v>75</v>
      </c>
      <c r="N26" s="4" t="n">
        <v>88</v>
      </c>
      <c r="O26" s="4" t="n">
        <v>41</v>
      </c>
      <c r="P26" s="4" t="n">
        <v>7</v>
      </c>
      <c r="Q26" s="4" t="n">
        <v>1</v>
      </c>
      <c r="R26" s="6" t="n">
        <v>9.17</v>
      </c>
      <c r="S26" s="6" t="n">
        <v>1.83</v>
      </c>
      <c r="T26" s="4" t="n">
        <v>13</v>
      </c>
      <c r="U26" s="5" t="s">
        <v>236</v>
      </c>
      <c r="V26" s="4" t="s">
        <v>237</v>
      </c>
      <c r="W26" s="7" t="n">
        <v>1090</v>
      </c>
      <c r="X26" s="7" t="n">
        <v>10000</v>
      </c>
      <c r="Y26" s="6" t="n">
        <f aca="false">IF(OR(W26="",W26=0,X26=""),"",X26/W26)</f>
        <v>9.17431192660551</v>
      </c>
      <c r="Z26" s="4" t="n">
        <v>5</v>
      </c>
      <c r="AA26" s="4" t="s">
        <v>238</v>
      </c>
      <c r="AB26" s="8" t="s">
        <v>239</v>
      </c>
      <c r="AC26" s="9" t="s">
        <v>69</v>
      </c>
      <c r="AD26" s="10"/>
      <c r="AE26" s="4"/>
      <c r="AF26" s="11" t="n">
        <f aca="false">IF(AC26&lt;&gt;"Published",COUNTIF($AC$2:AC26,"&lt;&gt;Published"),"")</f>
        <v>25</v>
      </c>
    </row>
    <row r="27" customFormat="false" ht="26.85" hidden="false" customHeight="false" outlineLevel="0" collapsed="false">
      <c r="A27" s="4" t="n">
        <v>26</v>
      </c>
      <c r="B27" s="4" t="n">
        <f aca="false">ROUNDUP(A27/3,0)</f>
        <v>9</v>
      </c>
      <c r="C27" s="4" t="s">
        <v>232</v>
      </c>
      <c r="D27" s="4" t="s">
        <v>240</v>
      </c>
      <c r="E27" s="4" t="s">
        <v>71</v>
      </c>
      <c r="F27" s="5" t="s">
        <v>241</v>
      </c>
      <c r="G27" s="5" t="s">
        <v>242</v>
      </c>
      <c r="H27" s="4" t="s">
        <v>59</v>
      </c>
      <c r="I27" s="4" t="s">
        <v>60</v>
      </c>
      <c r="J27" s="4" t="s">
        <v>186</v>
      </c>
      <c r="K27" s="4" t="s">
        <v>83</v>
      </c>
      <c r="L27" s="4" t="s">
        <v>84</v>
      </c>
      <c r="M27" s="4" t="s">
        <v>75</v>
      </c>
      <c r="N27" s="4" t="n">
        <v>138</v>
      </c>
      <c r="O27" s="4" t="n">
        <v>49</v>
      </c>
      <c r="P27" s="4" t="n">
        <v>21</v>
      </c>
      <c r="Q27" s="4" t="n">
        <v>2</v>
      </c>
      <c r="R27" s="6" t="n">
        <v>4.33</v>
      </c>
      <c r="S27" s="6" t="n">
        <v>1.54</v>
      </c>
      <c r="T27" s="4" t="n">
        <v>12</v>
      </c>
      <c r="U27" s="5" t="s">
        <v>243</v>
      </c>
      <c r="V27" s="4" t="s">
        <v>102</v>
      </c>
      <c r="W27" s="7" t="n">
        <v>61400</v>
      </c>
      <c r="X27" s="7" t="n">
        <v>266000</v>
      </c>
      <c r="Y27" s="6" t="n">
        <f aca="false">IF(OR(W27="",W27=0,X27=""),"",X27/W27)</f>
        <v>4.33224755700326</v>
      </c>
      <c r="Z27" s="4" t="n">
        <v>14</v>
      </c>
      <c r="AA27" s="4" t="s">
        <v>244</v>
      </c>
      <c r="AB27" s="8" t="s">
        <v>245</v>
      </c>
      <c r="AC27" s="9" t="s">
        <v>69</v>
      </c>
      <c r="AD27" s="10"/>
      <c r="AE27" s="4"/>
      <c r="AF27" s="11" t="n">
        <f aca="false">IF(AC27&lt;&gt;"Published",COUNTIF($AC$2:AC27,"&lt;&gt;Published"),"")</f>
        <v>26</v>
      </c>
    </row>
    <row r="28" customFormat="false" ht="26.85" hidden="false" customHeight="false" outlineLevel="0" collapsed="false">
      <c r="A28" s="4" t="n">
        <v>27</v>
      </c>
      <c r="B28" s="4" t="n">
        <f aca="false">ROUNDUP(A28/3,0)</f>
        <v>9</v>
      </c>
      <c r="C28" s="4" t="s">
        <v>232</v>
      </c>
      <c r="D28" s="4" t="s">
        <v>246</v>
      </c>
      <c r="E28" s="4" t="s">
        <v>247</v>
      </c>
      <c r="F28" s="5" t="s">
        <v>248</v>
      </c>
      <c r="G28" s="5" t="s">
        <v>249</v>
      </c>
      <c r="H28" s="4" t="s">
        <v>74</v>
      </c>
      <c r="I28" s="4" t="s">
        <v>100</v>
      </c>
      <c r="J28" s="4" t="s">
        <v>152</v>
      </c>
      <c r="K28" s="4" t="s">
        <v>83</v>
      </c>
      <c r="L28" s="4" t="s">
        <v>84</v>
      </c>
      <c r="M28" s="4" t="s">
        <v>64</v>
      </c>
      <c r="N28" s="4" t="n">
        <v>86</v>
      </c>
      <c r="O28" s="4" t="n">
        <v>41</v>
      </c>
      <c r="P28" s="4" t="n">
        <v>4</v>
      </c>
      <c r="Q28" s="4" t="n">
        <v>2</v>
      </c>
      <c r="R28" s="6" t="n">
        <v>36.67</v>
      </c>
      <c r="S28" s="6" t="n">
        <v>6.11</v>
      </c>
      <c r="T28" s="4" t="n">
        <v>6</v>
      </c>
      <c r="U28" s="5" t="s">
        <v>250</v>
      </c>
      <c r="V28" s="4" t="s">
        <v>129</v>
      </c>
      <c r="W28" s="7" t="n">
        <v>79600</v>
      </c>
      <c r="X28" s="7" t="n">
        <v>1500000</v>
      </c>
      <c r="Y28" s="6" t="n">
        <f aca="false">IF(OR(W28="",W28=0,X28=""),"",X28/W28)</f>
        <v>18.8442211055276</v>
      </c>
      <c r="Z28" s="4" t="n">
        <v>6</v>
      </c>
      <c r="AA28" s="4" t="s">
        <v>251</v>
      </c>
      <c r="AB28" s="8" t="s">
        <v>252</v>
      </c>
      <c r="AC28" s="9" t="s">
        <v>69</v>
      </c>
      <c r="AD28" s="10"/>
      <c r="AE28" s="4"/>
      <c r="AF28" s="11" t="n">
        <f aca="false">IF(AC28&lt;&gt;"Published",COUNTIF($AC$2:AC28,"&lt;&gt;Published"),"")</f>
        <v>27</v>
      </c>
    </row>
    <row r="29" customFormat="false" ht="26.85" hidden="false" customHeight="false" outlineLevel="0" collapsed="false">
      <c r="A29" s="4" t="n">
        <v>28</v>
      </c>
      <c r="B29" s="4" t="n">
        <f aca="false">ROUNDUP(A29/3,0)</f>
        <v>10</v>
      </c>
      <c r="C29" s="4" t="s">
        <v>232</v>
      </c>
      <c r="D29" s="4" t="s">
        <v>253</v>
      </c>
      <c r="E29" s="4" t="s">
        <v>254</v>
      </c>
      <c r="F29" s="5" t="s">
        <v>255</v>
      </c>
      <c r="G29" s="5" t="s">
        <v>256</v>
      </c>
      <c r="H29" s="4" t="s">
        <v>59</v>
      </c>
      <c r="I29" s="4" t="s">
        <v>60</v>
      </c>
      <c r="J29" s="4" t="s">
        <v>61</v>
      </c>
      <c r="K29" s="4" t="s">
        <v>83</v>
      </c>
      <c r="L29" s="4" t="s">
        <v>84</v>
      </c>
      <c r="M29" s="4" t="s">
        <v>75</v>
      </c>
      <c r="N29" s="4" t="n">
        <v>46</v>
      </c>
      <c r="O29" s="4" t="n">
        <v>28</v>
      </c>
      <c r="P29" s="4" t="n">
        <v>9</v>
      </c>
      <c r="Q29" s="4" t="n">
        <v>4</v>
      </c>
      <c r="R29" s="6" t="n">
        <v>42.7</v>
      </c>
      <c r="S29" s="6" t="n">
        <v>3.56</v>
      </c>
      <c r="T29" s="4" t="n">
        <v>12</v>
      </c>
      <c r="U29" s="5" t="s">
        <v>257</v>
      </c>
      <c r="V29" s="4" t="s">
        <v>258</v>
      </c>
      <c r="W29" s="7" t="n">
        <v>18900</v>
      </c>
      <c r="X29" s="7" t="n">
        <v>807000</v>
      </c>
      <c r="Y29" s="6" t="n">
        <f aca="false">IF(OR(W29="",W29=0,X29=""),"",X29/W29)</f>
        <v>42.6984126984127</v>
      </c>
      <c r="Z29" s="4" t="n">
        <v>12</v>
      </c>
      <c r="AA29" s="4" t="s">
        <v>259</v>
      </c>
      <c r="AB29" s="8" t="s">
        <v>260</v>
      </c>
      <c r="AC29" s="9" t="s">
        <v>69</v>
      </c>
      <c r="AD29" s="10"/>
      <c r="AE29" s="4"/>
      <c r="AF29" s="11" t="n">
        <f aca="false">IF(AC29&lt;&gt;"Published",COUNTIF($AC$2:AC29,"&lt;&gt;Published"),"")</f>
        <v>28</v>
      </c>
    </row>
    <row r="30" customFormat="false" ht="26.85" hidden="false" customHeight="false" outlineLevel="0" collapsed="false">
      <c r="A30" s="4" t="n">
        <v>29</v>
      </c>
      <c r="B30" s="4" t="n">
        <f aca="false">ROUNDUP(A30/3,0)</f>
        <v>10</v>
      </c>
      <c r="C30" s="4" t="s">
        <v>232</v>
      </c>
      <c r="D30" s="4" t="s">
        <v>261</v>
      </c>
      <c r="E30" s="4" t="s">
        <v>56</v>
      </c>
      <c r="F30" s="5" t="s">
        <v>262</v>
      </c>
      <c r="G30" s="5" t="s">
        <v>263</v>
      </c>
      <c r="H30" s="4" t="s">
        <v>74</v>
      </c>
      <c r="I30" s="4" t="s">
        <v>92</v>
      </c>
      <c r="J30" s="4" t="s">
        <v>233</v>
      </c>
      <c r="K30" s="4" t="s">
        <v>83</v>
      </c>
      <c r="L30" s="4" t="s">
        <v>84</v>
      </c>
      <c r="M30" s="4" t="s">
        <v>75</v>
      </c>
      <c r="N30" s="4" t="n">
        <v>126</v>
      </c>
      <c r="O30" s="4" t="n">
        <v>57</v>
      </c>
      <c r="P30" s="4" t="n">
        <v>10</v>
      </c>
      <c r="Q30" s="4" t="n">
        <v>1</v>
      </c>
      <c r="R30" s="6" t="n">
        <v>10.06</v>
      </c>
      <c r="S30" s="6" t="n">
        <v>1.68</v>
      </c>
      <c r="T30" s="4" t="n">
        <v>14</v>
      </c>
      <c r="U30" s="5" t="s">
        <v>264</v>
      </c>
      <c r="V30" s="4" t="s">
        <v>265</v>
      </c>
      <c r="W30" s="7" t="n">
        <v>4970</v>
      </c>
      <c r="X30" s="7" t="n">
        <v>50000</v>
      </c>
      <c r="Y30" s="6" t="n">
        <f aca="false">IF(OR(W30="",W30=0,X30=""),"",X30/W30)</f>
        <v>10.0603621730382</v>
      </c>
      <c r="Z30" s="4" t="n">
        <v>6</v>
      </c>
      <c r="AA30" s="4" t="s">
        <v>266</v>
      </c>
      <c r="AB30" s="8" t="s">
        <v>267</v>
      </c>
      <c r="AC30" s="9" t="s">
        <v>69</v>
      </c>
      <c r="AD30" s="10"/>
      <c r="AE30" s="4"/>
      <c r="AF30" s="11" t="n">
        <f aca="false">IF(AC30&lt;&gt;"Published",COUNTIF($AC$2:AC30,"&lt;&gt;Published"),"")</f>
        <v>29</v>
      </c>
    </row>
    <row r="31" customFormat="false" ht="26.85" hidden="false" customHeight="false" outlineLevel="0" collapsed="false">
      <c r="A31" s="4" t="n">
        <v>30</v>
      </c>
      <c r="B31" s="4" t="n">
        <f aca="false">ROUNDUP(A31/3,0)</f>
        <v>10</v>
      </c>
      <c r="C31" s="4" t="s">
        <v>232</v>
      </c>
      <c r="D31" s="4" t="s">
        <v>268</v>
      </c>
      <c r="E31" s="4" t="s">
        <v>71</v>
      </c>
      <c r="F31" s="5" t="s">
        <v>269</v>
      </c>
      <c r="G31" s="5" t="s">
        <v>270</v>
      </c>
      <c r="H31" s="4" t="s">
        <v>74</v>
      </c>
      <c r="I31" s="4" t="s">
        <v>60</v>
      </c>
      <c r="J31" s="4" t="s">
        <v>240</v>
      </c>
      <c r="K31" s="4" t="s">
        <v>62</v>
      </c>
      <c r="L31" s="4" t="s">
        <v>63</v>
      </c>
      <c r="M31" s="4" t="s">
        <v>75</v>
      </c>
      <c r="N31" s="4" t="n">
        <v>13</v>
      </c>
      <c r="O31" s="4" t="n">
        <v>10</v>
      </c>
      <c r="P31" s="4" t="n">
        <v>1</v>
      </c>
      <c r="Q31" s="4" t="n">
        <v>0</v>
      </c>
      <c r="R31" s="6" t="n">
        <v>1.63</v>
      </c>
      <c r="S31" s="6" t="n">
        <v>0.18</v>
      </c>
      <c r="T31" s="4" t="n">
        <v>16</v>
      </c>
      <c r="U31" s="5" t="s">
        <v>271</v>
      </c>
      <c r="V31" s="4" t="s">
        <v>94</v>
      </c>
      <c r="W31" s="7" t="n">
        <v>76600</v>
      </c>
      <c r="X31" s="7" t="n">
        <v>125000</v>
      </c>
      <c r="Y31" s="6" t="n">
        <f aca="false">IF(OR(W31="",W31=0,X31=""),"",X31/W31)</f>
        <v>1.63185378590078</v>
      </c>
      <c r="Z31" s="4" t="n">
        <v>16</v>
      </c>
      <c r="AA31" s="4" t="s">
        <v>272</v>
      </c>
      <c r="AB31" s="8" t="s">
        <v>273</v>
      </c>
      <c r="AC31" s="9" t="s">
        <v>69</v>
      </c>
      <c r="AD31" s="10"/>
      <c r="AE31" s="4"/>
      <c r="AF31" s="11" t="n">
        <f aca="false">IF(AC31&lt;&gt;"Published",COUNTIF($AC$2:AC31,"&lt;&gt;Published"),"")</f>
        <v>30</v>
      </c>
    </row>
    <row r="32" customFormat="false" ht="26.85" hidden="false" customHeight="false" outlineLevel="0" collapsed="false">
      <c r="A32" s="4" t="n">
        <v>31</v>
      </c>
      <c r="B32" s="4" t="n">
        <f aca="false">ROUNDUP(A32/3,0)</f>
        <v>11</v>
      </c>
      <c r="C32" s="4" t="s">
        <v>232</v>
      </c>
      <c r="D32" s="4" t="s">
        <v>274</v>
      </c>
      <c r="E32" s="4" t="s">
        <v>247</v>
      </c>
      <c r="F32" s="5" t="s">
        <v>275</v>
      </c>
      <c r="G32" s="5" t="s">
        <v>276</v>
      </c>
      <c r="H32" s="4" t="s">
        <v>59</v>
      </c>
      <c r="I32" s="4" t="s">
        <v>60</v>
      </c>
      <c r="J32" s="4" t="s">
        <v>261</v>
      </c>
      <c r="K32" s="4" t="s">
        <v>62</v>
      </c>
      <c r="L32" s="4" t="s">
        <v>84</v>
      </c>
      <c r="M32" s="4" t="s">
        <v>64</v>
      </c>
      <c r="N32" s="4" t="n">
        <v>46</v>
      </c>
      <c r="O32" s="4" t="n">
        <v>31</v>
      </c>
      <c r="P32" s="4" t="n">
        <v>5</v>
      </c>
      <c r="Q32" s="4" t="n">
        <v>2</v>
      </c>
      <c r="R32" s="6" t="n">
        <v>52.13</v>
      </c>
      <c r="S32" s="6" t="n">
        <v>13.03</v>
      </c>
      <c r="T32" s="4" t="n">
        <v>5</v>
      </c>
      <c r="U32" s="5" t="s">
        <v>277</v>
      </c>
      <c r="V32" s="4" t="s">
        <v>278</v>
      </c>
      <c r="W32" s="7" t="n">
        <v>63300</v>
      </c>
      <c r="X32" s="7" t="n">
        <v>3300000</v>
      </c>
      <c r="Y32" s="6" t="n">
        <f aca="false">IF(OR(W32="",W32=0,X32=""),"",X32/W32)</f>
        <v>52.1327014218009</v>
      </c>
      <c r="Z32" s="4" t="n">
        <v>4</v>
      </c>
      <c r="AA32" s="4" t="s">
        <v>279</v>
      </c>
      <c r="AB32" s="8" t="s">
        <v>280</v>
      </c>
      <c r="AC32" s="9" t="s">
        <v>69</v>
      </c>
      <c r="AD32" s="10"/>
      <c r="AE32" s="4"/>
      <c r="AF32" s="11" t="n">
        <f aca="false">IF(AC32&lt;&gt;"Published",COUNTIF($AC$2:AC32,"&lt;&gt;Published"),"")</f>
        <v>31</v>
      </c>
    </row>
    <row r="33" customFormat="false" ht="39.55" hidden="false" customHeight="false" outlineLevel="0" collapsed="false">
      <c r="A33" s="4" t="n">
        <v>32</v>
      </c>
      <c r="B33" s="4" t="n">
        <f aca="false">ROUNDUP(A33/3,0)</f>
        <v>11</v>
      </c>
      <c r="C33" s="4" t="s">
        <v>232</v>
      </c>
      <c r="D33" s="4" t="s">
        <v>281</v>
      </c>
      <c r="E33" s="4" t="s">
        <v>254</v>
      </c>
      <c r="F33" s="5" t="s">
        <v>282</v>
      </c>
      <c r="G33" s="5" t="s">
        <v>283</v>
      </c>
      <c r="H33" s="4" t="s">
        <v>74</v>
      </c>
      <c r="I33" s="4" t="s">
        <v>92</v>
      </c>
      <c r="J33" s="4" t="s">
        <v>284</v>
      </c>
      <c r="K33" s="4" t="s">
        <v>62</v>
      </c>
      <c r="L33" s="4" t="s">
        <v>63</v>
      </c>
      <c r="M33" s="4" t="s">
        <v>64</v>
      </c>
      <c r="N33" s="4" t="n">
        <v>92</v>
      </c>
      <c r="O33" s="4" t="n">
        <v>37</v>
      </c>
      <c r="P33" s="4" t="n">
        <v>8</v>
      </c>
      <c r="Q33" s="4" t="n">
        <v>0</v>
      </c>
      <c r="R33" s="6" t="n">
        <v>6.92</v>
      </c>
      <c r="S33" s="6" t="n">
        <v>1.38</v>
      </c>
      <c r="T33" s="4" t="n">
        <v>6</v>
      </c>
      <c r="U33" s="5" t="s">
        <v>285</v>
      </c>
      <c r="V33" s="4" t="s">
        <v>286</v>
      </c>
      <c r="W33" s="7" t="n">
        <v>21500</v>
      </c>
      <c r="X33" s="7" t="n">
        <v>55000</v>
      </c>
      <c r="Y33" s="6" t="n">
        <f aca="false">IF(OR(W33="",W33=0,X33=""),"",X33/W33)</f>
        <v>2.55813953488372</v>
      </c>
      <c r="Z33" s="4" t="n">
        <v>6</v>
      </c>
      <c r="AA33" s="4" t="s">
        <v>287</v>
      </c>
      <c r="AB33" s="8" t="s">
        <v>288</v>
      </c>
      <c r="AC33" s="9" t="s">
        <v>69</v>
      </c>
      <c r="AD33" s="10"/>
      <c r="AE33" s="4"/>
      <c r="AF33" s="11" t="n">
        <f aca="false">IF(AC33&lt;&gt;"Published",COUNTIF($AC$2:AC33,"&lt;&gt;Published"),"")</f>
        <v>32</v>
      </c>
    </row>
    <row r="34" customFormat="false" ht="26.85" hidden="false" customHeight="false" outlineLevel="0" collapsed="false">
      <c r="A34" s="4" t="n">
        <v>33</v>
      </c>
      <c r="B34" s="4" t="n">
        <f aca="false">ROUNDUP(A34/3,0)</f>
        <v>11</v>
      </c>
      <c r="C34" s="4" t="s">
        <v>232</v>
      </c>
      <c r="D34" s="4" t="s">
        <v>289</v>
      </c>
      <c r="E34" s="4" t="s">
        <v>56</v>
      </c>
      <c r="F34" s="5" t="s">
        <v>290</v>
      </c>
      <c r="G34" s="5" t="s">
        <v>291</v>
      </c>
      <c r="H34" s="4" t="s">
        <v>59</v>
      </c>
      <c r="I34" s="4" t="s">
        <v>100</v>
      </c>
      <c r="J34" s="4" t="s">
        <v>261</v>
      </c>
      <c r="K34" s="4" t="s">
        <v>215</v>
      </c>
      <c r="L34" s="4" t="s">
        <v>292</v>
      </c>
      <c r="M34" s="4" t="s">
        <v>293</v>
      </c>
      <c r="N34" s="4" t="n">
        <v>9</v>
      </c>
      <c r="O34" s="4" t="n">
        <v>4</v>
      </c>
      <c r="P34" s="4" t="n">
        <v>0</v>
      </c>
      <c r="Q34" s="4" t="n">
        <v>0</v>
      </c>
      <c r="R34" s="6" t="n">
        <v>0.01</v>
      </c>
      <c r="S34" s="6" t="n">
        <v>0</v>
      </c>
      <c r="T34" s="4"/>
      <c r="U34" s="5" t="s">
        <v>294</v>
      </c>
      <c r="V34" s="4" t="s">
        <v>295</v>
      </c>
      <c r="W34" s="7" t="n">
        <v>1640</v>
      </c>
      <c r="X34" s="7" t="n">
        <v>19</v>
      </c>
      <c r="Y34" s="6" t="n">
        <f aca="false">IF(OR(W34="",W34=0,X34=""),"",X34/W34)</f>
        <v>0.0115853658536585</v>
      </c>
      <c r="Z34" s="4" t="n">
        <v>0.25</v>
      </c>
      <c r="AA34" s="4" t="s">
        <v>296</v>
      </c>
      <c r="AB34" s="8" t="s">
        <v>297</v>
      </c>
      <c r="AC34" s="9" t="s">
        <v>69</v>
      </c>
      <c r="AD34" s="10"/>
      <c r="AE34" s="4"/>
      <c r="AF34" s="11" t="n">
        <f aca="false">IF(AC34&lt;&gt;"Published",COUNTIF($AC$2:AC34,"&lt;&gt;Published"),"")</f>
        <v>33</v>
      </c>
    </row>
    <row r="35" customFormat="false" ht="26.85" hidden="false" customHeight="false" outlineLevel="0" collapsed="false">
      <c r="A35" s="4" t="n">
        <v>34</v>
      </c>
      <c r="B35" s="4" t="n">
        <f aca="false">ROUNDUP(A35/3,0)</f>
        <v>12</v>
      </c>
      <c r="C35" s="4" t="s">
        <v>232</v>
      </c>
      <c r="D35" s="4" t="s">
        <v>298</v>
      </c>
      <c r="E35" s="4" t="s">
        <v>71</v>
      </c>
      <c r="F35" s="5" t="s">
        <v>299</v>
      </c>
      <c r="G35" s="5" t="s">
        <v>300</v>
      </c>
      <c r="H35" s="4" t="s">
        <v>59</v>
      </c>
      <c r="I35" s="4" t="s">
        <v>60</v>
      </c>
      <c r="J35" s="4" t="s">
        <v>240</v>
      </c>
      <c r="K35" s="4" t="s">
        <v>301</v>
      </c>
      <c r="L35" s="4" t="s">
        <v>63</v>
      </c>
      <c r="M35" s="4" t="s">
        <v>75</v>
      </c>
      <c r="N35" s="4" t="n">
        <v>46</v>
      </c>
      <c r="O35" s="4" t="n">
        <v>31</v>
      </c>
      <c r="P35" s="4" t="n">
        <v>5</v>
      </c>
      <c r="Q35" s="4" t="n">
        <v>0</v>
      </c>
      <c r="R35" s="6" t="n">
        <v>4.33</v>
      </c>
      <c r="S35" s="6" t="n">
        <v>0.67</v>
      </c>
      <c r="T35" s="4" t="n">
        <v>9</v>
      </c>
      <c r="U35" s="5" t="s">
        <v>243</v>
      </c>
      <c r="V35" s="4" t="s">
        <v>102</v>
      </c>
      <c r="W35" s="7" t="n">
        <v>61400</v>
      </c>
      <c r="X35" s="7" t="n">
        <v>266000</v>
      </c>
      <c r="Y35" s="6" t="n">
        <f aca="false">IF(OR(W35="",W35=0,X35=""),"",X35/W35)</f>
        <v>4.33224755700326</v>
      </c>
      <c r="Z35" s="4" t="n">
        <v>14</v>
      </c>
      <c r="AA35" s="4" t="s">
        <v>244</v>
      </c>
      <c r="AB35" s="8" t="s">
        <v>245</v>
      </c>
      <c r="AC35" s="9" t="s">
        <v>69</v>
      </c>
      <c r="AD35" s="10"/>
      <c r="AE35" s="4"/>
      <c r="AF35" s="11" t="n">
        <f aca="false">IF(AC35&lt;&gt;"Published",COUNTIF($AC$2:AC35,"&lt;&gt;Published"),"")</f>
        <v>34</v>
      </c>
    </row>
    <row r="36" customFormat="false" ht="26.85" hidden="false" customHeight="false" outlineLevel="0" collapsed="false">
      <c r="A36" s="4" t="n">
        <v>35</v>
      </c>
      <c r="B36" s="4" t="n">
        <f aca="false">ROUNDUP(A36/3,0)</f>
        <v>12</v>
      </c>
      <c r="C36" s="4" t="s">
        <v>232</v>
      </c>
      <c r="D36" s="4" t="s">
        <v>302</v>
      </c>
      <c r="E36" s="4" t="s">
        <v>247</v>
      </c>
      <c r="F36" s="5" t="s">
        <v>303</v>
      </c>
      <c r="G36" s="5" t="s">
        <v>304</v>
      </c>
      <c r="H36" s="4" t="s">
        <v>59</v>
      </c>
      <c r="I36" s="4" t="s">
        <v>60</v>
      </c>
      <c r="J36" s="4" t="s">
        <v>274</v>
      </c>
      <c r="K36" s="4" t="s">
        <v>215</v>
      </c>
      <c r="L36" s="4" t="s">
        <v>84</v>
      </c>
      <c r="M36" s="4" t="s">
        <v>64</v>
      </c>
      <c r="N36" s="4" t="n">
        <v>41</v>
      </c>
      <c r="O36" s="4" t="n">
        <v>23</v>
      </c>
      <c r="P36" s="4" t="n">
        <v>5</v>
      </c>
      <c r="Q36" s="4" t="n">
        <v>2</v>
      </c>
      <c r="R36" s="6" t="n">
        <v>50</v>
      </c>
      <c r="S36" s="6" t="n">
        <v>6.25</v>
      </c>
      <c r="T36" s="4" t="n">
        <v>6</v>
      </c>
      <c r="U36" s="5" t="s">
        <v>305</v>
      </c>
      <c r="V36" s="4" t="s">
        <v>306</v>
      </c>
      <c r="W36" s="7" t="n">
        <v>8480</v>
      </c>
      <c r="X36" s="7" t="n">
        <v>424000</v>
      </c>
      <c r="Y36" s="6" t="n">
        <f aca="false">IF(OR(W36="",W36=0,X36=""),"",X36/W36)</f>
        <v>50</v>
      </c>
      <c r="Z36" s="4" t="n">
        <v>8</v>
      </c>
      <c r="AA36" s="4" t="s">
        <v>307</v>
      </c>
      <c r="AB36" s="8" t="s">
        <v>308</v>
      </c>
      <c r="AC36" s="9" t="s">
        <v>69</v>
      </c>
      <c r="AD36" s="10"/>
      <c r="AE36" s="4"/>
      <c r="AF36" s="11" t="n">
        <f aca="false">IF(AC36&lt;&gt;"Published",COUNTIF($AC$2:AC36,"&lt;&gt;Published"),"")</f>
        <v>35</v>
      </c>
    </row>
    <row r="37" customFormat="false" ht="26.85" hidden="false" customHeight="false" outlineLevel="0" collapsed="false">
      <c r="A37" s="4" t="n">
        <v>36</v>
      </c>
      <c r="B37" s="4" t="n">
        <f aca="false">ROUNDUP(A37/3,0)</f>
        <v>12</v>
      </c>
      <c r="C37" s="4" t="s">
        <v>232</v>
      </c>
      <c r="D37" s="4" t="s">
        <v>309</v>
      </c>
      <c r="E37" s="4" t="s">
        <v>254</v>
      </c>
      <c r="F37" s="5" t="s">
        <v>310</v>
      </c>
      <c r="G37" s="5" t="s">
        <v>311</v>
      </c>
      <c r="H37" s="4" t="s">
        <v>74</v>
      </c>
      <c r="I37" s="4" t="s">
        <v>92</v>
      </c>
      <c r="J37" s="4" t="s">
        <v>281</v>
      </c>
      <c r="K37" s="4" t="s">
        <v>312</v>
      </c>
      <c r="L37" s="4" t="s">
        <v>63</v>
      </c>
      <c r="M37" s="4" t="s">
        <v>64</v>
      </c>
      <c r="N37" s="4" t="n">
        <v>18</v>
      </c>
      <c r="O37" s="4" t="n">
        <v>11</v>
      </c>
      <c r="P37" s="4" t="n">
        <v>3</v>
      </c>
      <c r="Q37" s="4" t="n">
        <v>0</v>
      </c>
      <c r="R37" s="6" t="n">
        <v>3.23</v>
      </c>
      <c r="S37" s="6" t="n">
        <v>0.83</v>
      </c>
      <c r="T37" s="4" t="n">
        <v>5</v>
      </c>
      <c r="U37" s="5" t="s">
        <v>313</v>
      </c>
      <c r="V37" s="4" t="s">
        <v>314</v>
      </c>
      <c r="W37" s="7" t="n">
        <v>7120</v>
      </c>
      <c r="X37" s="7" t="n">
        <v>23000</v>
      </c>
      <c r="Y37" s="6" t="n">
        <f aca="false">IF(OR(W37="",W37=0,X37=""),"",X37/W37)</f>
        <v>3.23033707865169</v>
      </c>
      <c r="Z37" s="4" t="n">
        <v>7</v>
      </c>
      <c r="AA37" s="4" t="s">
        <v>315</v>
      </c>
      <c r="AB37" s="8" t="s">
        <v>316</v>
      </c>
      <c r="AC37" s="9" t="s">
        <v>69</v>
      </c>
      <c r="AD37" s="10"/>
      <c r="AE37" s="4"/>
      <c r="AF37" s="11" t="n">
        <f aca="false">IF(AC37&lt;&gt;"Published",COUNTIF($AC$2:AC37,"&lt;&gt;Published"),"")</f>
        <v>36</v>
      </c>
    </row>
    <row r="38" customFormat="false" ht="26.85" hidden="false" customHeight="false" outlineLevel="0" collapsed="false">
      <c r="A38" s="4" t="n">
        <v>37</v>
      </c>
      <c r="B38" s="4" t="n">
        <f aca="false">ROUNDUP(A38/3,0)</f>
        <v>13</v>
      </c>
      <c r="C38" s="4" t="s">
        <v>232</v>
      </c>
      <c r="D38" s="4" t="s">
        <v>284</v>
      </c>
      <c r="E38" s="4" t="s">
        <v>56</v>
      </c>
      <c r="F38" s="5" t="s">
        <v>317</v>
      </c>
      <c r="G38" s="5" t="s">
        <v>318</v>
      </c>
      <c r="H38" s="4" t="s">
        <v>59</v>
      </c>
      <c r="I38" s="4" t="s">
        <v>100</v>
      </c>
      <c r="J38" s="4" t="s">
        <v>152</v>
      </c>
      <c r="K38" s="4" t="s">
        <v>83</v>
      </c>
      <c r="L38" s="4" t="s">
        <v>84</v>
      </c>
      <c r="M38" s="4" t="s">
        <v>75</v>
      </c>
      <c r="N38" s="4" t="n">
        <v>200</v>
      </c>
      <c r="O38" s="4" t="n">
        <v>79</v>
      </c>
      <c r="P38" s="4" t="n">
        <v>18</v>
      </c>
      <c r="Q38" s="4" t="n">
        <v>1</v>
      </c>
      <c r="R38" s="6" t="n">
        <v>10.15</v>
      </c>
      <c r="S38" s="6" t="n">
        <v>1.83</v>
      </c>
      <c r="T38" s="4" t="n">
        <v>13</v>
      </c>
      <c r="U38" s="5" t="s">
        <v>319</v>
      </c>
      <c r="V38" s="4" t="s">
        <v>320</v>
      </c>
      <c r="W38" s="7" t="n">
        <v>13700</v>
      </c>
      <c r="X38" s="7" t="n">
        <v>139000</v>
      </c>
      <c r="Y38" s="6" t="n">
        <f aca="false">IF(OR(W38="",W38=0,X38=""),"",X38/W38)</f>
        <v>10.1459854014599</v>
      </c>
      <c r="Z38" s="4" t="n">
        <v>16</v>
      </c>
      <c r="AA38" s="4" t="s">
        <v>321</v>
      </c>
      <c r="AB38" s="8" t="s">
        <v>322</v>
      </c>
      <c r="AC38" s="9" t="s">
        <v>69</v>
      </c>
      <c r="AD38" s="10"/>
      <c r="AE38" s="4"/>
      <c r="AF38" s="11" t="n">
        <f aca="false">IF(AC38&lt;&gt;"Published",COUNTIF($AC$2:AC38,"&lt;&gt;Published"),"")</f>
        <v>37</v>
      </c>
    </row>
    <row r="39" customFormat="false" ht="26.85" hidden="false" customHeight="false" outlineLevel="0" collapsed="false">
      <c r="A39" s="4" t="n">
        <v>38</v>
      </c>
      <c r="B39" s="4" t="n">
        <f aca="false">ROUNDUP(A39/3,0)</f>
        <v>13</v>
      </c>
      <c r="C39" s="4" t="s">
        <v>232</v>
      </c>
      <c r="D39" s="4" t="s">
        <v>323</v>
      </c>
      <c r="E39" s="4" t="s">
        <v>71</v>
      </c>
      <c r="F39" s="5" t="s">
        <v>324</v>
      </c>
      <c r="G39" s="5" t="s">
        <v>325</v>
      </c>
      <c r="H39" s="4" t="s">
        <v>74</v>
      </c>
      <c r="I39" s="4" t="s">
        <v>92</v>
      </c>
      <c r="J39" s="4" t="s">
        <v>240</v>
      </c>
      <c r="K39" s="4" t="s">
        <v>228</v>
      </c>
      <c r="L39" s="4" t="s">
        <v>84</v>
      </c>
      <c r="M39" s="4" t="s">
        <v>75</v>
      </c>
      <c r="N39" s="4" t="n">
        <v>69</v>
      </c>
      <c r="O39" s="4" t="n">
        <v>30</v>
      </c>
      <c r="P39" s="4" t="n">
        <v>10</v>
      </c>
      <c r="Q39" s="4" t="n">
        <v>3</v>
      </c>
      <c r="R39" s="6" t="n">
        <v>10.28</v>
      </c>
      <c r="S39" s="6" t="n">
        <v>3.13</v>
      </c>
      <c r="T39" s="4" t="n">
        <v>16</v>
      </c>
      <c r="U39" s="5" t="s">
        <v>326</v>
      </c>
      <c r="V39" s="4" t="s">
        <v>129</v>
      </c>
      <c r="W39" s="7" t="n">
        <v>79600</v>
      </c>
      <c r="X39" s="7" t="n">
        <v>818000</v>
      </c>
      <c r="Y39" s="6" t="n">
        <f aca="false">IF(OR(W39="",W39=0,X39=""),"",X39/W39)</f>
        <v>10.2763819095477</v>
      </c>
      <c r="Z39" s="4" t="n">
        <v>5</v>
      </c>
      <c r="AA39" s="4" t="s">
        <v>327</v>
      </c>
      <c r="AB39" s="8" t="s">
        <v>328</v>
      </c>
      <c r="AC39" s="9" t="s">
        <v>69</v>
      </c>
      <c r="AD39" s="10"/>
      <c r="AE39" s="4"/>
      <c r="AF39" s="11" t="n">
        <f aca="false">IF(AC39&lt;&gt;"Published",COUNTIF($AC$2:AC39,"&lt;&gt;Published"),"")</f>
        <v>38</v>
      </c>
    </row>
    <row r="40" customFormat="false" ht="26.85" hidden="false" customHeight="false" outlineLevel="0" collapsed="false">
      <c r="A40" s="4" t="n">
        <v>39</v>
      </c>
      <c r="B40" s="4" t="n">
        <f aca="false">ROUNDUP(A40/3,0)</f>
        <v>13</v>
      </c>
      <c r="C40" s="4" t="s">
        <v>232</v>
      </c>
      <c r="D40" s="4" t="s">
        <v>329</v>
      </c>
      <c r="E40" s="4" t="s">
        <v>247</v>
      </c>
      <c r="F40" s="5" t="s">
        <v>330</v>
      </c>
      <c r="G40" s="5" t="s">
        <v>331</v>
      </c>
      <c r="H40" s="4" t="s">
        <v>74</v>
      </c>
      <c r="I40" s="4" t="s">
        <v>92</v>
      </c>
      <c r="J40" s="4" t="s">
        <v>261</v>
      </c>
      <c r="K40" s="4" t="s">
        <v>62</v>
      </c>
      <c r="L40" s="4" t="s">
        <v>84</v>
      </c>
      <c r="M40" s="4" t="s">
        <v>75</v>
      </c>
      <c r="N40" s="4" t="n">
        <v>121</v>
      </c>
      <c r="O40" s="4" t="n">
        <v>36</v>
      </c>
      <c r="P40" s="4" t="n">
        <v>14</v>
      </c>
      <c r="Q40" s="4" t="n">
        <v>2</v>
      </c>
      <c r="R40" s="6" t="n">
        <v>61.81</v>
      </c>
      <c r="S40" s="6" t="n">
        <v>12.36</v>
      </c>
      <c r="T40" s="4" t="n">
        <v>10.5</v>
      </c>
      <c r="U40" s="5" t="s">
        <v>332</v>
      </c>
      <c r="V40" s="4" t="s">
        <v>333</v>
      </c>
      <c r="W40" s="7" t="n">
        <v>2540</v>
      </c>
      <c r="X40" s="7" t="n">
        <v>157000</v>
      </c>
      <c r="Y40" s="6" t="n">
        <f aca="false">IF(OR(W40="",W40=0,X40=""),"",X40/W40)</f>
        <v>61.8110236220472</v>
      </c>
      <c r="Z40" s="4" t="n">
        <v>5</v>
      </c>
      <c r="AA40" s="4" t="s">
        <v>334</v>
      </c>
      <c r="AB40" s="8" t="s">
        <v>335</v>
      </c>
      <c r="AC40" s="9" t="s">
        <v>69</v>
      </c>
      <c r="AD40" s="10"/>
      <c r="AE40" s="4"/>
      <c r="AF40" s="11" t="n">
        <f aca="false">IF(AC40&lt;&gt;"Published",COUNTIF($AC$2:AC40,"&lt;&gt;Published"),"")</f>
        <v>39</v>
      </c>
    </row>
    <row r="41" customFormat="false" ht="26.85" hidden="false" customHeight="false" outlineLevel="0" collapsed="false">
      <c r="A41" s="4" t="n">
        <v>40</v>
      </c>
      <c r="B41" s="4" t="n">
        <f aca="false">ROUNDUP(A41/3,0)</f>
        <v>14</v>
      </c>
      <c r="C41" s="4" t="s">
        <v>232</v>
      </c>
      <c r="D41" s="4" t="s">
        <v>336</v>
      </c>
      <c r="E41" s="4" t="s">
        <v>254</v>
      </c>
      <c r="F41" s="5" t="s">
        <v>337</v>
      </c>
      <c r="G41" s="5" t="s">
        <v>338</v>
      </c>
      <c r="H41" s="4" t="s">
        <v>59</v>
      </c>
      <c r="I41" s="4" t="s">
        <v>92</v>
      </c>
      <c r="J41" s="4" t="s">
        <v>281</v>
      </c>
      <c r="K41" s="4" t="s">
        <v>62</v>
      </c>
      <c r="L41" s="4" t="s">
        <v>84</v>
      </c>
      <c r="M41" s="4" t="s">
        <v>64</v>
      </c>
      <c r="N41" s="4" t="n">
        <v>74</v>
      </c>
      <c r="O41" s="4" t="n">
        <v>32</v>
      </c>
      <c r="P41" s="4" t="n">
        <v>7</v>
      </c>
      <c r="Q41" s="4" t="n">
        <v>1</v>
      </c>
      <c r="R41" s="6" t="n">
        <v>9.06</v>
      </c>
      <c r="S41" s="6" t="n">
        <v>1.81</v>
      </c>
      <c r="T41" s="4" t="n">
        <v>6</v>
      </c>
      <c r="U41" s="5" t="s">
        <v>339</v>
      </c>
      <c r="V41" s="4" t="s">
        <v>340</v>
      </c>
      <c r="W41" s="7" t="n">
        <v>94100</v>
      </c>
      <c r="X41" s="7" t="n">
        <v>371000</v>
      </c>
      <c r="Y41" s="6" t="n">
        <f aca="false">IF(OR(W41="",W41=0,X41=""),"",X41/W41)</f>
        <v>3.94261424017003</v>
      </c>
      <c r="Z41" s="4" t="n">
        <v>7</v>
      </c>
      <c r="AA41" s="4" t="s">
        <v>341</v>
      </c>
      <c r="AB41" s="8" t="s">
        <v>342</v>
      </c>
      <c r="AC41" s="9" t="s">
        <v>69</v>
      </c>
      <c r="AD41" s="10"/>
      <c r="AE41" s="4"/>
      <c r="AF41" s="11" t="n">
        <f aca="false">IF(AC41&lt;&gt;"Published",COUNTIF($AC$2:AC41,"&lt;&gt;Published"),"")</f>
        <v>40</v>
      </c>
    </row>
    <row r="42" customFormat="false" ht="26.85" hidden="false" customHeight="false" outlineLevel="0" collapsed="false">
      <c r="A42" s="4" t="n">
        <v>41</v>
      </c>
      <c r="B42" s="4" t="n">
        <f aca="false">ROUNDUP(A42/3,0)</f>
        <v>14</v>
      </c>
      <c r="C42" s="4" t="s">
        <v>232</v>
      </c>
      <c r="D42" s="4" t="s">
        <v>343</v>
      </c>
      <c r="E42" s="4" t="s">
        <v>56</v>
      </c>
      <c r="F42" s="5" t="s">
        <v>344</v>
      </c>
      <c r="G42" s="5" t="s">
        <v>345</v>
      </c>
      <c r="H42" s="4" t="s">
        <v>74</v>
      </c>
      <c r="I42" s="4" t="s">
        <v>92</v>
      </c>
      <c r="J42" s="4" t="s">
        <v>284</v>
      </c>
      <c r="K42" s="4" t="s">
        <v>62</v>
      </c>
      <c r="L42" s="4" t="s">
        <v>63</v>
      </c>
      <c r="M42" s="4" t="s">
        <v>75</v>
      </c>
      <c r="N42" s="4" t="n">
        <v>86</v>
      </c>
      <c r="O42" s="4" t="n">
        <v>36</v>
      </c>
      <c r="P42" s="4" t="n">
        <v>8</v>
      </c>
      <c r="Q42" s="4" t="n">
        <v>0</v>
      </c>
      <c r="R42" s="6" t="n">
        <v>10.15</v>
      </c>
      <c r="S42" s="6" t="n">
        <v>0.63</v>
      </c>
      <c r="T42" s="4" t="n">
        <v>12.5</v>
      </c>
      <c r="U42" s="5" t="s">
        <v>319</v>
      </c>
      <c r="V42" s="4" t="s">
        <v>320</v>
      </c>
      <c r="W42" s="7" t="n">
        <v>13700</v>
      </c>
      <c r="X42" s="7" t="n">
        <v>139000</v>
      </c>
      <c r="Y42" s="6" t="n">
        <f aca="false">IF(OR(W42="",W42=0,X42=""),"",X42/W42)</f>
        <v>10.1459854014599</v>
      </c>
      <c r="Z42" s="4" t="n">
        <v>16</v>
      </c>
      <c r="AA42" s="4" t="s">
        <v>321</v>
      </c>
      <c r="AB42" s="8" t="s">
        <v>322</v>
      </c>
      <c r="AC42" s="9" t="s">
        <v>69</v>
      </c>
      <c r="AD42" s="10"/>
      <c r="AE42" s="4"/>
      <c r="AF42" s="11" t="n">
        <f aca="false">IF(AC42&lt;&gt;"Published",COUNTIF($AC$2:AC42,"&lt;&gt;Published"),"")</f>
        <v>41</v>
      </c>
    </row>
    <row r="43" customFormat="false" ht="26.85" hidden="false" customHeight="false" outlineLevel="0" collapsed="false">
      <c r="A43" s="4" t="n">
        <v>42</v>
      </c>
      <c r="B43" s="4" t="n">
        <f aca="false">ROUNDUP(A43/3,0)</f>
        <v>14</v>
      </c>
      <c r="C43" s="4" t="s">
        <v>232</v>
      </c>
      <c r="D43" s="4" t="s">
        <v>346</v>
      </c>
      <c r="E43" s="4" t="s">
        <v>71</v>
      </c>
      <c r="F43" s="5" t="s">
        <v>347</v>
      </c>
      <c r="G43" s="5" t="s">
        <v>348</v>
      </c>
      <c r="H43" s="4" t="s">
        <v>59</v>
      </c>
      <c r="I43" s="4" t="s">
        <v>60</v>
      </c>
      <c r="J43" s="4" t="s">
        <v>349</v>
      </c>
      <c r="K43" s="4" t="s">
        <v>228</v>
      </c>
      <c r="L43" s="4" t="s">
        <v>63</v>
      </c>
      <c r="M43" s="4" t="s">
        <v>75</v>
      </c>
      <c r="N43" s="4" t="n">
        <v>28</v>
      </c>
      <c r="O43" s="4" t="n">
        <v>14</v>
      </c>
      <c r="P43" s="4" t="n">
        <v>3</v>
      </c>
      <c r="Q43" s="4" t="n">
        <v>0</v>
      </c>
      <c r="R43" s="6" t="n">
        <v>2.42</v>
      </c>
      <c r="S43" s="6" t="n">
        <v>0.25</v>
      </c>
      <c r="T43" s="4" t="n">
        <v>10</v>
      </c>
      <c r="U43" s="5" t="s">
        <v>350</v>
      </c>
      <c r="V43" s="4" t="s">
        <v>94</v>
      </c>
      <c r="W43" s="7" t="n">
        <v>76600</v>
      </c>
      <c r="X43" s="7" t="n">
        <v>185000</v>
      </c>
      <c r="Y43" s="6" t="n">
        <f aca="false">IF(OR(W43="",W43=0,X43=""),"",X43/W43)</f>
        <v>2.41514360313316</v>
      </c>
      <c r="Z43" s="4" t="n">
        <v>16</v>
      </c>
      <c r="AA43" s="4" t="s">
        <v>351</v>
      </c>
      <c r="AB43" s="8" t="s">
        <v>352</v>
      </c>
      <c r="AC43" s="9" t="s">
        <v>69</v>
      </c>
      <c r="AD43" s="10"/>
      <c r="AE43" s="4"/>
      <c r="AF43" s="11" t="n">
        <f aca="false">IF(AC43&lt;&gt;"Published",COUNTIF($AC$2:AC43,"&lt;&gt;Published"),"")</f>
        <v>42</v>
      </c>
    </row>
    <row r="44" customFormat="false" ht="26.85" hidden="false" customHeight="false" outlineLevel="0" collapsed="false">
      <c r="A44" s="4" t="n">
        <v>43</v>
      </c>
      <c r="B44" s="4" t="n">
        <f aca="false">ROUNDUP(A44/3,0)</f>
        <v>15</v>
      </c>
      <c r="C44" s="4" t="s">
        <v>232</v>
      </c>
      <c r="D44" s="4" t="s">
        <v>353</v>
      </c>
      <c r="E44" s="4" t="s">
        <v>247</v>
      </c>
      <c r="F44" s="5" t="s">
        <v>354</v>
      </c>
      <c r="G44" s="5" t="s">
        <v>355</v>
      </c>
      <c r="H44" s="4" t="s">
        <v>59</v>
      </c>
      <c r="I44" s="4" t="s">
        <v>100</v>
      </c>
      <c r="J44" s="4" t="s">
        <v>329</v>
      </c>
      <c r="K44" s="4" t="s">
        <v>221</v>
      </c>
      <c r="L44" s="4" t="s">
        <v>84</v>
      </c>
      <c r="M44" s="4" t="s">
        <v>64</v>
      </c>
      <c r="N44" s="4" t="n">
        <v>17</v>
      </c>
      <c r="O44" s="4" t="n">
        <v>9</v>
      </c>
      <c r="P44" s="4" t="n">
        <v>2</v>
      </c>
      <c r="Q44" s="4" t="n">
        <v>2</v>
      </c>
      <c r="R44" s="6" t="n">
        <v>21.91</v>
      </c>
      <c r="S44" s="6" t="n">
        <v>3.13</v>
      </c>
      <c r="T44" s="4" t="n">
        <v>6.5</v>
      </c>
      <c r="U44" s="5" t="s">
        <v>356</v>
      </c>
      <c r="V44" s="4" t="s">
        <v>357</v>
      </c>
      <c r="W44" s="7" t="n">
        <v>15200</v>
      </c>
      <c r="X44" s="7" t="n">
        <v>333000</v>
      </c>
      <c r="Y44" s="6" t="n">
        <f aca="false">IF(OR(W44="",W44=0,X44=""),"",X44/W44)</f>
        <v>21.9078947368421</v>
      </c>
      <c r="Z44" s="4" t="n">
        <v>10</v>
      </c>
      <c r="AA44" s="4" t="s">
        <v>358</v>
      </c>
      <c r="AB44" s="8" t="s">
        <v>359</v>
      </c>
      <c r="AC44" s="9" t="s">
        <v>69</v>
      </c>
      <c r="AD44" s="10"/>
      <c r="AE44" s="4"/>
      <c r="AF44" s="11" t="n">
        <f aca="false">IF(AC44&lt;&gt;"Published",COUNTIF($AC$2:AC44,"&lt;&gt;Published"),"")</f>
        <v>43</v>
      </c>
    </row>
    <row r="45" customFormat="false" ht="26.85" hidden="false" customHeight="false" outlineLevel="0" collapsed="false">
      <c r="A45" s="4" t="n">
        <v>44</v>
      </c>
      <c r="B45" s="4" t="n">
        <f aca="false">ROUNDUP(A45/3,0)</f>
        <v>15</v>
      </c>
      <c r="C45" s="4" t="s">
        <v>232</v>
      </c>
      <c r="D45" s="4" t="s">
        <v>360</v>
      </c>
      <c r="E45" s="4" t="s">
        <v>254</v>
      </c>
      <c r="F45" s="5" t="s">
        <v>361</v>
      </c>
      <c r="G45" s="5" t="s">
        <v>362</v>
      </c>
      <c r="H45" s="4" t="s">
        <v>74</v>
      </c>
      <c r="I45" s="4" t="s">
        <v>60</v>
      </c>
      <c r="J45" s="4" t="s">
        <v>336</v>
      </c>
      <c r="K45" s="4" t="s">
        <v>215</v>
      </c>
      <c r="L45" s="4" t="s">
        <v>63</v>
      </c>
      <c r="M45" s="4" t="s">
        <v>64</v>
      </c>
      <c r="N45" s="4" t="n">
        <v>76</v>
      </c>
      <c r="O45" s="4" t="n">
        <v>39</v>
      </c>
      <c r="P45" s="4" t="n">
        <v>5</v>
      </c>
      <c r="Q45" s="4" t="n">
        <v>1</v>
      </c>
      <c r="R45" s="6" t="n">
        <v>4.67</v>
      </c>
      <c r="S45" s="6" t="n">
        <v>1.17</v>
      </c>
      <c r="T45" s="4" t="n">
        <v>7</v>
      </c>
      <c r="U45" s="5" t="s">
        <v>363</v>
      </c>
      <c r="V45" s="4" t="s">
        <v>364</v>
      </c>
      <c r="W45" s="7" t="n">
        <v>13200</v>
      </c>
      <c r="X45" s="7" t="n">
        <v>47000</v>
      </c>
      <c r="Y45" s="6" t="n">
        <f aca="false">IF(OR(W45="",W45=0,X45=""),"",X45/W45)</f>
        <v>3.56060606060606</v>
      </c>
      <c r="Z45" s="4" t="n">
        <v>12</v>
      </c>
      <c r="AA45" s="4" t="s">
        <v>365</v>
      </c>
      <c r="AB45" s="8" t="s">
        <v>366</v>
      </c>
      <c r="AC45" s="9" t="s">
        <v>69</v>
      </c>
      <c r="AD45" s="10"/>
      <c r="AE45" s="4"/>
      <c r="AF45" s="11" t="n">
        <f aca="false">IF(AC45&lt;&gt;"Published",COUNTIF($AC$2:AC45,"&lt;&gt;Published"),"")</f>
        <v>44</v>
      </c>
    </row>
    <row r="46" customFormat="false" ht="26.85" hidden="false" customHeight="false" outlineLevel="0" collapsed="false">
      <c r="A46" s="4" t="n">
        <v>45</v>
      </c>
      <c r="B46" s="4" t="n">
        <f aca="false">ROUNDUP(A46/3,0)</f>
        <v>15</v>
      </c>
      <c r="C46" s="4" t="s">
        <v>232</v>
      </c>
      <c r="D46" s="4" t="s">
        <v>367</v>
      </c>
      <c r="E46" s="4" t="s">
        <v>56</v>
      </c>
      <c r="F46" s="5" t="s">
        <v>368</v>
      </c>
      <c r="G46" s="5" t="s">
        <v>369</v>
      </c>
      <c r="H46" s="4" t="s">
        <v>59</v>
      </c>
      <c r="I46" s="4" t="s">
        <v>100</v>
      </c>
      <c r="J46" s="4" t="s">
        <v>284</v>
      </c>
      <c r="K46" s="4" t="s">
        <v>62</v>
      </c>
      <c r="L46" s="4" t="s">
        <v>63</v>
      </c>
      <c r="M46" s="4" t="s">
        <v>75</v>
      </c>
      <c r="N46" s="4" t="n">
        <v>43</v>
      </c>
      <c r="O46" s="4" t="n">
        <v>27</v>
      </c>
      <c r="P46" s="4" t="n">
        <v>5</v>
      </c>
      <c r="Q46" s="4" t="n">
        <v>0</v>
      </c>
      <c r="R46" s="6" t="n">
        <v>9.03</v>
      </c>
      <c r="S46" s="6" t="n">
        <v>0.82</v>
      </c>
      <c r="T46" s="4" t="n">
        <v>11</v>
      </c>
      <c r="U46" s="5" t="s">
        <v>370</v>
      </c>
      <c r="V46" s="4" t="s">
        <v>371</v>
      </c>
      <c r="W46" s="7" t="n">
        <v>21600</v>
      </c>
      <c r="X46" s="7" t="n">
        <v>195000</v>
      </c>
      <c r="Y46" s="6" t="n">
        <f aca="false">IF(OR(W46="",W46=0,X46=""),"",X46/W46)</f>
        <v>9.02777777777778</v>
      </c>
      <c r="Z46" s="4" t="n">
        <v>11</v>
      </c>
      <c r="AA46" s="4" t="s">
        <v>372</v>
      </c>
      <c r="AB46" s="8" t="s">
        <v>373</v>
      </c>
      <c r="AC46" s="9" t="s">
        <v>69</v>
      </c>
      <c r="AD46" s="10"/>
      <c r="AE46" s="4"/>
      <c r="AF46" s="11" t="n">
        <f aca="false">IF(AC46&lt;&gt;"Published",COUNTIF($AC$2:AC46,"&lt;&gt;Published"),"")</f>
        <v>45</v>
      </c>
    </row>
    <row r="47" customFormat="false" ht="26.85" hidden="false" customHeight="false" outlineLevel="0" collapsed="false">
      <c r="A47" s="4" t="n">
        <v>46</v>
      </c>
      <c r="B47" s="4" t="n">
        <f aca="false">ROUNDUP(A47/3,0)</f>
        <v>16</v>
      </c>
      <c r="C47" s="4" t="s">
        <v>232</v>
      </c>
      <c r="D47" s="4" t="s">
        <v>374</v>
      </c>
      <c r="E47" s="4" t="s">
        <v>71</v>
      </c>
      <c r="F47" s="5" t="s">
        <v>375</v>
      </c>
      <c r="G47" s="5" t="s">
        <v>376</v>
      </c>
      <c r="H47" s="4" t="s">
        <v>74</v>
      </c>
      <c r="I47" s="4" t="s">
        <v>377</v>
      </c>
      <c r="J47" s="4" t="s">
        <v>346</v>
      </c>
      <c r="K47" s="4" t="s">
        <v>228</v>
      </c>
      <c r="L47" s="4" t="s">
        <v>84</v>
      </c>
      <c r="M47" s="4" t="s">
        <v>64</v>
      </c>
      <c r="N47" s="4" t="n">
        <v>68</v>
      </c>
      <c r="O47" s="4" t="n">
        <v>23</v>
      </c>
      <c r="P47" s="4" t="n">
        <v>2</v>
      </c>
      <c r="Q47" s="4" t="n">
        <v>2</v>
      </c>
      <c r="R47" s="6" t="n">
        <v>21.91</v>
      </c>
      <c r="S47" s="6" t="n">
        <v>3.13</v>
      </c>
      <c r="T47" s="4" t="n">
        <v>6.5</v>
      </c>
      <c r="U47" s="5" t="s">
        <v>356</v>
      </c>
      <c r="V47" s="4" t="s">
        <v>357</v>
      </c>
      <c r="W47" s="7" t="n">
        <v>15200</v>
      </c>
      <c r="X47" s="7" t="n">
        <v>333000</v>
      </c>
      <c r="Y47" s="6" t="n">
        <f aca="false">IF(OR(W47="",W47=0,X47=""),"",X47/W47)</f>
        <v>21.9078947368421</v>
      </c>
      <c r="Z47" s="4" t="n">
        <v>10</v>
      </c>
      <c r="AA47" s="4" t="s">
        <v>358</v>
      </c>
      <c r="AB47" s="8" t="s">
        <v>359</v>
      </c>
      <c r="AC47" s="9" t="s">
        <v>69</v>
      </c>
      <c r="AD47" s="10"/>
      <c r="AE47" s="4"/>
      <c r="AF47" s="11" t="n">
        <f aca="false">IF(AC47&lt;&gt;"Published",COUNTIF($AC$2:AC47,"&lt;&gt;Published"),"")</f>
        <v>46</v>
      </c>
    </row>
    <row r="48" customFormat="false" ht="26.85" hidden="false" customHeight="false" outlineLevel="0" collapsed="false">
      <c r="A48" s="4" t="n">
        <v>47</v>
      </c>
      <c r="B48" s="4" t="n">
        <f aca="false">ROUNDUP(A48/3,0)</f>
        <v>16</v>
      </c>
      <c r="C48" s="4" t="s">
        <v>232</v>
      </c>
      <c r="D48" s="4" t="s">
        <v>378</v>
      </c>
      <c r="E48" s="4" t="s">
        <v>247</v>
      </c>
      <c r="F48" s="5" t="s">
        <v>379</v>
      </c>
      <c r="G48" s="5" t="s">
        <v>380</v>
      </c>
      <c r="H48" s="4" t="s">
        <v>74</v>
      </c>
      <c r="I48" s="4" t="s">
        <v>60</v>
      </c>
      <c r="J48" s="4" t="s">
        <v>329</v>
      </c>
      <c r="K48" s="4" t="s">
        <v>62</v>
      </c>
      <c r="L48" s="4" t="s">
        <v>84</v>
      </c>
      <c r="M48" s="4" t="s">
        <v>64</v>
      </c>
      <c r="N48" s="4" t="n">
        <v>115</v>
      </c>
      <c r="O48" s="4" t="n">
        <v>46</v>
      </c>
      <c r="P48" s="4" t="n">
        <v>12</v>
      </c>
      <c r="Q48" s="4" t="n">
        <v>2</v>
      </c>
      <c r="R48" s="6" t="n">
        <v>49.22</v>
      </c>
      <c r="S48" s="6" t="n">
        <v>12.3</v>
      </c>
      <c r="T48" s="4" t="n">
        <v>5.5</v>
      </c>
      <c r="U48" s="5" t="s">
        <v>381</v>
      </c>
      <c r="V48" s="4" t="s">
        <v>382</v>
      </c>
      <c r="W48" s="7" t="n">
        <v>1280</v>
      </c>
      <c r="X48" s="7" t="n">
        <v>63000</v>
      </c>
      <c r="Y48" s="6" t="n">
        <f aca="false">IF(OR(W48="",W48=0,X48=""),"",X48/W48)</f>
        <v>49.21875</v>
      </c>
      <c r="Z48" s="4" t="n">
        <v>4</v>
      </c>
      <c r="AA48" s="4" t="s">
        <v>383</v>
      </c>
      <c r="AB48" s="8" t="s">
        <v>384</v>
      </c>
      <c r="AC48" s="9" t="s">
        <v>69</v>
      </c>
      <c r="AD48" s="10"/>
      <c r="AE48" s="4"/>
      <c r="AF48" s="11" t="n">
        <f aca="false">IF(AC48&lt;&gt;"Published",COUNTIF($AC$2:AC48,"&lt;&gt;Published"),"")</f>
        <v>47</v>
      </c>
    </row>
    <row r="49" customFormat="false" ht="26.85" hidden="false" customHeight="false" outlineLevel="0" collapsed="false">
      <c r="A49" s="4" t="n">
        <v>48</v>
      </c>
      <c r="B49" s="4" t="n">
        <f aca="false">ROUNDUP(A49/3,0)</f>
        <v>16</v>
      </c>
      <c r="C49" s="4" t="s">
        <v>232</v>
      </c>
      <c r="D49" s="4" t="s">
        <v>385</v>
      </c>
      <c r="E49" s="4" t="s">
        <v>254</v>
      </c>
      <c r="F49" s="5" t="s">
        <v>386</v>
      </c>
      <c r="G49" s="5" t="s">
        <v>387</v>
      </c>
      <c r="H49" s="4" t="s">
        <v>74</v>
      </c>
      <c r="I49" s="4" t="s">
        <v>92</v>
      </c>
      <c r="J49" s="4" t="s">
        <v>336</v>
      </c>
      <c r="K49" s="4" t="s">
        <v>62</v>
      </c>
      <c r="L49" s="4" t="s">
        <v>84</v>
      </c>
      <c r="M49" s="4" t="s">
        <v>64</v>
      </c>
      <c r="N49" s="4" t="n">
        <v>31</v>
      </c>
      <c r="O49" s="4" t="n">
        <v>17</v>
      </c>
      <c r="P49" s="4" t="n">
        <v>3</v>
      </c>
      <c r="Q49" s="4" t="n">
        <v>2</v>
      </c>
      <c r="R49" s="6" t="n">
        <v>12.91</v>
      </c>
      <c r="S49" s="6" t="n">
        <v>2.15</v>
      </c>
      <c r="T49" s="4" t="n">
        <v>6</v>
      </c>
      <c r="U49" s="5" t="s">
        <v>388</v>
      </c>
      <c r="V49" s="4" t="s">
        <v>389</v>
      </c>
      <c r="W49" s="7" t="n">
        <v>42300</v>
      </c>
      <c r="X49" s="7" t="n">
        <v>546000</v>
      </c>
      <c r="Y49" s="6" t="n">
        <f aca="false">IF(OR(W49="",W49=0,X49=""),"",X49/W49)</f>
        <v>12.9078014184397</v>
      </c>
      <c r="Z49" s="4" t="n">
        <v>6</v>
      </c>
      <c r="AA49" s="4" t="s">
        <v>390</v>
      </c>
      <c r="AB49" s="8" t="s">
        <v>391</v>
      </c>
      <c r="AC49" s="9" t="s">
        <v>69</v>
      </c>
      <c r="AD49" s="10"/>
      <c r="AE49" s="4"/>
      <c r="AF49" s="11" t="n">
        <f aca="false">IF(AC49&lt;&gt;"Published",COUNTIF($AC$2:AC49,"&lt;&gt;Published"),"")</f>
        <v>48</v>
      </c>
    </row>
    <row r="50" customFormat="false" ht="26.85" hidden="false" customHeight="false" outlineLevel="0" collapsed="false">
      <c r="A50" s="4" t="n">
        <v>49</v>
      </c>
      <c r="B50" s="4" t="n">
        <f aca="false">ROUNDUP(A50/3,0)</f>
        <v>17</v>
      </c>
      <c r="C50" s="4" t="s">
        <v>392</v>
      </c>
      <c r="D50" s="4" t="s">
        <v>393</v>
      </c>
      <c r="E50" s="4" t="s">
        <v>56</v>
      </c>
      <c r="F50" s="5" t="s">
        <v>394</v>
      </c>
      <c r="G50" s="5" t="s">
        <v>395</v>
      </c>
      <c r="H50" s="4" t="s">
        <v>74</v>
      </c>
      <c r="I50" s="4" t="s">
        <v>60</v>
      </c>
      <c r="J50" s="4" t="s">
        <v>284</v>
      </c>
      <c r="K50" s="4" t="s">
        <v>215</v>
      </c>
      <c r="L50" s="4" t="s">
        <v>63</v>
      </c>
      <c r="M50" s="4" t="s">
        <v>293</v>
      </c>
      <c r="N50" s="4" t="n">
        <v>4</v>
      </c>
      <c r="O50" s="4" t="n">
        <v>4</v>
      </c>
      <c r="P50" s="4" t="n">
        <v>0</v>
      </c>
      <c r="Q50" s="4" t="n">
        <v>0</v>
      </c>
      <c r="R50" s="6" t="n">
        <v>1.59</v>
      </c>
      <c r="S50" s="6" t="n">
        <v>1.73</v>
      </c>
      <c r="T50" s="4"/>
      <c r="U50" s="5" t="s">
        <v>396</v>
      </c>
      <c r="V50" s="4" t="s">
        <v>295</v>
      </c>
      <c r="W50" s="7" t="n">
        <v>1640</v>
      </c>
      <c r="X50" s="7" t="n">
        <v>2600</v>
      </c>
      <c r="Y50" s="6" t="n">
        <f aca="false">IF(OR(W50="",W50=0,X50=""),"",X50/W50)</f>
        <v>1.58536585365854</v>
      </c>
      <c r="Z50" s="4" t="n">
        <v>0.92</v>
      </c>
      <c r="AA50" s="4" t="s">
        <v>397</v>
      </c>
      <c r="AB50" s="8" t="s">
        <v>398</v>
      </c>
      <c r="AC50" s="9" t="s">
        <v>69</v>
      </c>
      <c r="AD50" s="10"/>
      <c r="AE50" s="4"/>
      <c r="AF50" s="11" t="n">
        <f aca="false">IF(AC50&lt;&gt;"Published",COUNTIF($AC$2:AC50,"&lt;&gt;Published"),"")</f>
        <v>49</v>
      </c>
    </row>
    <row r="51" customFormat="false" ht="26.85" hidden="false" customHeight="false" outlineLevel="0" collapsed="false">
      <c r="A51" s="4" t="n">
        <v>50</v>
      </c>
      <c r="B51" s="4" t="n">
        <f aca="false">ROUNDUP(A51/3,0)</f>
        <v>17</v>
      </c>
      <c r="C51" s="4" t="s">
        <v>392</v>
      </c>
      <c r="D51" s="4" t="s">
        <v>399</v>
      </c>
      <c r="E51" s="4" t="s">
        <v>71</v>
      </c>
      <c r="F51" s="5" t="s">
        <v>400</v>
      </c>
      <c r="G51" s="5" t="s">
        <v>401</v>
      </c>
      <c r="H51" s="4" t="s">
        <v>59</v>
      </c>
      <c r="I51" s="4" t="s">
        <v>100</v>
      </c>
      <c r="J51" s="4" t="s">
        <v>240</v>
      </c>
      <c r="K51" s="4" t="s">
        <v>301</v>
      </c>
      <c r="L51" s="4" t="s">
        <v>63</v>
      </c>
      <c r="M51" s="4" t="s">
        <v>75</v>
      </c>
      <c r="N51" s="4" t="n">
        <v>38</v>
      </c>
      <c r="O51" s="4" t="n">
        <v>25</v>
      </c>
      <c r="P51" s="4" t="n">
        <v>4</v>
      </c>
      <c r="Q51" s="4" t="n">
        <v>0</v>
      </c>
      <c r="R51" s="6" t="n">
        <v>9.03</v>
      </c>
      <c r="S51" s="6" t="n">
        <v>0.82</v>
      </c>
      <c r="T51" s="4" t="n">
        <v>9.5</v>
      </c>
      <c r="U51" s="5" t="s">
        <v>402</v>
      </c>
      <c r="V51" s="4" t="s">
        <v>163</v>
      </c>
      <c r="W51" s="7" t="n">
        <v>18600</v>
      </c>
      <c r="X51" s="7" t="n">
        <v>168000</v>
      </c>
      <c r="Y51" s="6" t="n">
        <f aca="false">IF(OR(W51="",W51=0,X51=""),"",X51/W51)</f>
        <v>9.03225806451613</v>
      </c>
      <c r="Z51" s="4" t="n">
        <v>11</v>
      </c>
      <c r="AA51" s="4" t="s">
        <v>403</v>
      </c>
      <c r="AB51" s="8" t="s">
        <v>404</v>
      </c>
      <c r="AC51" s="9" t="s">
        <v>69</v>
      </c>
      <c r="AD51" s="10"/>
      <c r="AE51" s="4"/>
      <c r="AF51" s="11" t="n">
        <f aca="false">IF(AC51&lt;&gt;"Published",COUNTIF($AC$2:AC51,"&lt;&gt;Published"),"")</f>
        <v>50</v>
      </c>
    </row>
    <row r="52" customFormat="false" ht="26.85" hidden="false" customHeight="false" outlineLevel="0" collapsed="false">
      <c r="A52" s="4" t="n">
        <v>51</v>
      </c>
      <c r="B52" s="4" t="n">
        <f aca="false">ROUNDUP(A52/3,0)</f>
        <v>17</v>
      </c>
      <c r="C52" s="4" t="s">
        <v>392</v>
      </c>
      <c r="D52" s="4" t="s">
        <v>405</v>
      </c>
      <c r="E52" s="4" t="s">
        <v>247</v>
      </c>
      <c r="F52" s="5" t="s">
        <v>406</v>
      </c>
      <c r="G52" s="5" t="s">
        <v>407</v>
      </c>
      <c r="H52" s="4" t="s">
        <v>74</v>
      </c>
      <c r="I52" s="4" t="s">
        <v>60</v>
      </c>
      <c r="J52" s="4" t="s">
        <v>329</v>
      </c>
      <c r="K52" s="4" t="s">
        <v>221</v>
      </c>
      <c r="L52" s="4" t="s">
        <v>84</v>
      </c>
      <c r="M52" s="4" t="s">
        <v>75</v>
      </c>
      <c r="N52" s="4" t="n">
        <v>41</v>
      </c>
      <c r="O52" s="4" t="n">
        <v>21</v>
      </c>
      <c r="P52" s="4" t="n">
        <v>2</v>
      </c>
      <c r="Q52" s="4" t="n">
        <v>1</v>
      </c>
      <c r="R52" s="6" t="n">
        <v>342.37</v>
      </c>
      <c r="S52" s="6" t="n">
        <v>31.12</v>
      </c>
      <c r="T52" s="4" t="n">
        <v>8</v>
      </c>
      <c r="U52" s="5" t="s">
        <v>408</v>
      </c>
      <c r="V52" s="4" t="s">
        <v>409</v>
      </c>
      <c r="W52" s="7" t="n">
        <v>295</v>
      </c>
      <c r="X52" s="7" t="n">
        <v>101000</v>
      </c>
      <c r="Y52" s="6" t="n">
        <f aca="false">IF(OR(W52="",W52=0,X52=""),"",X52/W52)</f>
        <v>342.372881355932</v>
      </c>
      <c r="Z52" s="4" t="n">
        <v>11</v>
      </c>
      <c r="AA52" s="4" t="s">
        <v>410</v>
      </c>
      <c r="AB52" s="8" t="s">
        <v>411</v>
      </c>
      <c r="AC52" s="9" t="s">
        <v>69</v>
      </c>
      <c r="AD52" s="10"/>
      <c r="AE52" s="4"/>
      <c r="AF52" s="11" t="n">
        <f aca="false">IF(AC52&lt;&gt;"Published",COUNTIF($AC$2:AC52,"&lt;&gt;Published"),"")</f>
        <v>51</v>
      </c>
    </row>
    <row r="53" customFormat="false" ht="26.85" hidden="false" customHeight="false" outlineLevel="0" collapsed="false">
      <c r="A53" s="4" t="n">
        <v>52</v>
      </c>
      <c r="B53" s="4" t="n">
        <f aca="false">ROUNDUP(A53/3,0)</f>
        <v>18</v>
      </c>
      <c r="C53" s="4" t="s">
        <v>392</v>
      </c>
      <c r="D53" s="4" t="s">
        <v>412</v>
      </c>
      <c r="E53" s="4" t="s">
        <v>254</v>
      </c>
      <c r="F53" s="5" t="s">
        <v>413</v>
      </c>
      <c r="G53" s="5" t="s">
        <v>414</v>
      </c>
      <c r="H53" s="4" t="s">
        <v>59</v>
      </c>
      <c r="I53" s="4" t="s">
        <v>92</v>
      </c>
      <c r="J53" s="4" t="s">
        <v>385</v>
      </c>
      <c r="K53" s="4" t="s">
        <v>228</v>
      </c>
      <c r="L53" s="4" t="s">
        <v>84</v>
      </c>
      <c r="M53" s="4" t="s">
        <v>64</v>
      </c>
      <c r="N53" s="4" t="n">
        <v>153</v>
      </c>
      <c r="O53" s="4" t="n">
        <v>60</v>
      </c>
      <c r="P53" s="4" t="n">
        <v>8</v>
      </c>
      <c r="Q53" s="4" t="n">
        <v>2</v>
      </c>
      <c r="R53" s="6" t="n">
        <v>9.23</v>
      </c>
      <c r="S53" s="6" t="n">
        <v>5.14</v>
      </c>
      <c r="T53" s="4" t="n">
        <v>6.5</v>
      </c>
      <c r="U53" s="5" t="s">
        <v>415</v>
      </c>
      <c r="V53" s="4" t="s">
        <v>416</v>
      </c>
      <c r="W53" s="7" t="n">
        <v>130000</v>
      </c>
      <c r="X53" s="7" t="n">
        <v>1200000</v>
      </c>
      <c r="Y53" s="6" t="n">
        <f aca="false">IF(OR(W53="",W53=0,X53=""),"",X53/W53)</f>
        <v>9.23076923076923</v>
      </c>
      <c r="Z53" s="4" t="n">
        <v>0.25</v>
      </c>
      <c r="AA53" s="4" t="s">
        <v>417</v>
      </c>
      <c r="AB53" s="8" t="s">
        <v>418</v>
      </c>
      <c r="AC53" s="9" t="s">
        <v>69</v>
      </c>
      <c r="AD53" s="10"/>
      <c r="AE53" s="4"/>
      <c r="AF53" s="11" t="n">
        <f aca="false">IF(AC53&lt;&gt;"Published",COUNTIF($AC$2:AC53,"&lt;&gt;Published"),"")</f>
        <v>52</v>
      </c>
    </row>
    <row r="54" customFormat="false" ht="26.85" hidden="false" customHeight="false" outlineLevel="0" collapsed="false">
      <c r="A54" s="4" t="n">
        <v>53</v>
      </c>
      <c r="B54" s="4" t="n">
        <f aca="false">ROUNDUP(A54/3,0)</f>
        <v>18</v>
      </c>
      <c r="C54" s="4" t="s">
        <v>392</v>
      </c>
      <c r="D54" s="4" t="s">
        <v>419</v>
      </c>
      <c r="E54" s="4" t="s">
        <v>254</v>
      </c>
      <c r="F54" s="5" t="s">
        <v>420</v>
      </c>
      <c r="G54" s="5" t="s">
        <v>421</v>
      </c>
      <c r="H54" s="4" t="s">
        <v>422</v>
      </c>
      <c r="I54" s="4" t="s">
        <v>423</v>
      </c>
      <c r="J54" s="4" t="s">
        <v>424</v>
      </c>
      <c r="K54" s="4" t="s">
        <v>62</v>
      </c>
      <c r="L54" s="4" t="s">
        <v>84</v>
      </c>
      <c r="M54" s="4" t="s">
        <v>425</v>
      </c>
      <c r="N54" s="4" t="n">
        <v>12</v>
      </c>
      <c r="O54" s="4" t="n">
        <v>5</v>
      </c>
      <c r="P54" s="4" t="n">
        <v>2</v>
      </c>
      <c r="Q54" s="4" t="n">
        <v>1</v>
      </c>
      <c r="R54" s="6" t="n">
        <v>15.62</v>
      </c>
      <c r="S54" s="6" t="n">
        <v>15.62</v>
      </c>
      <c r="T54" s="4" t="n">
        <v>2.5</v>
      </c>
      <c r="U54" s="5" t="s">
        <v>426</v>
      </c>
      <c r="V54" s="4" t="s">
        <v>427</v>
      </c>
      <c r="W54" s="7" t="n">
        <v>9220</v>
      </c>
      <c r="X54" s="7" t="n">
        <v>144000</v>
      </c>
      <c r="Y54" s="6" t="n">
        <f aca="false">IF(OR(W54="",W54=0,X54=""),"",X54/W54)</f>
        <v>15.6182212581345</v>
      </c>
      <c r="Z54" s="4" t="n">
        <v>1</v>
      </c>
      <c r="AA54" s="4" t="s">
        <v>428</v>
      </c>
      <c r="AB54" s="8" t="s">
        <v>429</v>
      </c>
      <c r="AC54" s="9" t="s">
        <v>69</v>
      </c>
      <c r="AD54" s="10"/>
      <c r="AE54" s="4"/>
      <c r="AF54" s="11" t="n">
        <f aca="false">IF(AC54&lt;&gt;"Published",COUNTIF($AC$2:AC54,"&lt;&gt;Published"),"")</f>
        <v>53</v>
      </c>
    </row>
    <row r="55" customFormat="false" ht="26.85" hidden="false" customHeight="false" outlineLevel="0" collapsed="false">
      <c r="A55" s="4" t="n">
        <v>54</v>
      </c>
      <c r="B55" s="4" t="n">
        <f aca="false">ROUNDUP(A55/3,0)</f>
        <v>18</v>
      </c>
      <c r="C55" s="4" t="s">
        <v>392</v>
      </c>
      <c r="D55" s="4" t="s">
        <v>430</v>
      </c>
      <c r="E55" s="4" t="s">
        <v>431</v>
      </c>
      <c r="F55" s="5" t="s">
        <v>432</v>
      </c>
      <c r="G55" s="5" t="s">
        <v>433</v>
      </c>
      <c r="H55" s="4" t="s">
        <v>74</v>
      </c>
      <c r="I55" s="4" t="s">
        <v>60</v>
      </c>
      <c r="J55" s="4" t="s">
        <v>434</v>
      </c>
      <c r="K55" s="4" t="s">
        <v>83</v>
      </c>
      <c r="L55" s="4" t="s">
        <v>84</v>
      </c>
      <c r="M55" s="4" t="s">
        <v>75</v>
      </c>
      <c r="N55" s="4" t="n">
        <v>92</v>
      </c>
      <c r="O55" s="4" t="n">
        <v>46</v>
      </c>
      <c r="P55" s="4" t="n">
        <v>7</v>
      </c>
      <c r="Q55" s="4" t="n">
        <v>2</v>
      </c>
      <c r="R55" s="6" t="n">
        <v>13.39</v>
      </c>
      <c r="S55" s="6" t="n">
        <v>2.36</v>
      </c>
      <c r="T55" s="4" t="n">
        <v>12</v>
      </c>
      <c r="U55" s="5" t="s">
        <v>435</v>
      </c>
      <c r="V55" s="4" t="s">
        <v>436</v>
      </c>
      <c r="W55" s="7" t="n">
        <v>112000</v>
      </c>
      <c r="X55" s="7" t="n">
        <v>1500000</v>
      </c>
      <c r="Y55" s="6" t="n">
        <f aca="false">IF(OR(W55="",W55=0,X55=""),"",X55/W55)</f>
        <v>13.3928571428571</v>
      </c>
      <c r="Z55" s="4" t="n">
        <v>10</v>
      </c>
      <c r="AA55" s="4" t="s">
        <v>437</v>
      </c>
      <c r="AB55" s="8" t="s">
        <v>438</v>
      </c>
      <c r="AC55" s="9" t="s">
        <v>69</v>
      </c>
      <c r="AD55" s="10"/>
      <c r="AE55" s="4"/>
      <c r="AF55" s="11" t="n">
        <f aca="false">IF(AC55&lt;&gt;"Published",COUNTIF($AC$2:AC55,"&lt;&gt;Published"),"")</f>
        <v>54</v>
      </c>
    </row>
    <row r="56" customFormat="false" ht="26.85" hidden="false" customHeight="false" outlineLevel="0" collapsed="false">
      <c r="A56" s="4" t="n">
        <v>55</v>
      </c>
      <c r="B56" s="4" t="n">
        <f aca="false">ROUNDUP(A56/3,0)</f>
        <v>19</v>
      </c>
      <c r="C56" s="4" t="s">
        <v>392</v>
      </c>
      <c r="D56" s="4" t="s">
        <v>439</v>
      </c>
      <c r="E56" s="4" t="s">
        <v>440</v>
      </c>
      <c r="F56" s="5" t="s">
        <v>441</v>
      </c>
      <c r="G56" s="5" t="s">
        <v>442</v>
      </c>
      <c r="H56" s="4" t="s">
        <v>74</v>
      </c>
      <c r="I56" s="4" t="s">
        <v>92</v>
      </c>
      <c r="J56" s="4" t="s">
        <v>139</v>
      </c>
      <c r="K56" s="4" t="s">
        <v>62</v>
      </c>
      <c r="L56" s="4" t="s">
        <v>84</v>
      </c>
      <c r="M56" s="4" t="s">
        <v>425</v>
      </c>
      <c r="N56" s="4" t="n">
        <v>165</v>
      </c>
      <c r="O56" s="4" t="n">
        <v>49</v>
      </c>
      <c r="P56" s="4" t="n">
        <v>10</v>
      </c>
      <c r="Q56" s="4" t="n">
        <v>3</v>
      </c>
      <c r="R56" s="6" t="n">
        <v>6.72</v>
      </c>
      <c r="S56" s="6" t="n">
        <v>1.96</v>
      </c>
      <c r="T56" s="4" t="n">
        <v>3</v>
      </c>
      <c r="U56" s="5" t="s">
        <v>443</v>
      </c>
      <c r="V56" s="4" t="s">
        <v>320</v>
      </c>
      <c r="W56" s="7" t="n">
        <v>13700</v>
      </c>
      <c r="X56" s="7" t="n">
        <v>92000</v>
      </c>
      <c r="Y56" s="6" t="n">
        <f aca="false">IF(OR(W56="",W56=0,X56=""),"",X56/W56)</f>
        <v>6.71532846715328</v>
      </c>
      <c r="Z56" s="4" t="n">
        <v>16</v>
      </c>
      <c r="AA56" s="4" t="s">
        <v>444</v>
      </c>
      <c r="AB56" s="8" t="s">
        <v>445</v>
      </c>
      <c r="AC56" s="9" t="s">
        <v>69</v>
      </c>
      <c r="AD56" s="10"/>
      <c r="AE56" s="4"/>
      <c r="AF56" s="11" t="n">
        <f aca="false">IF(AC56&lt;&gt;"Published",COUNTIF($AC$2:AC56,"&lt;&gt;Published"),"")</f>
        <v>55</v>
      </c>
    </row>
    <row r="57" customFormat="false" ht="26.85" hidden="false" customHeight="false" outlineLevel="0" collapsed="false">
      <c r="A57" s="4" t="n">
        <v>56</v>
      </c>
      <c r="B57" s="4" t="n">
        <f aca="false">ROUNDUP(A57/3,0)</f>
        <v>19</v>
      </c>
      <c r="C57" s="4" t="s">
        <v>392</v>
      </c>
      <c r="D57" s="4" t="s">
        <v>446</v>
      </c>
      <c r="E57" s="4" t="s">
        <v>447</v>
      </c>
      <c r="F57" s="5" t="s">
        <v>448</v>
      </c>
      <c r="G57" s="5" t="s">
        <v>449</v>
      </c>
      <c r="H57" s="4" t="s">
        <v>59</v>
      </c>
      <c r="I57" s="4" t="s">
        <v>92</v>
      </c>
      <c r="J57" s="4" t="s">
        <v>55</v>
      </c>
      <c r="K57" s="4" t="s">
        <v>215</v>
      </c>
      <c r="L57" s="4" t="s">
        <v>84</v>
      </c>
      <c r="M57" s="4" t="s">
        <v>64</v>
      </c>
      <c r="N57" s="4" t="n">
        <v>186</v>
      </c>
      <c r="O57" s="4" t="n">
        <v>30</v>
      </c>
      <c r="P57" s="4" t="n">
        <v>15</v>
      </c>
      <c r="Q57" s="4" t="n">
        <v>4</v>
      </c>
      <c r="R57" s="6" t="n">
        <v>72.79</v>
      </c>
      <c r="S57" s="6" t="n">
        <v>20.96</v>
      </c>
      <c r="T57" s="4" t="n">
        <v>4</v>
      </c>
      <c r="U57" s="5" t="s">
        <v>450</v>
      </c>
      <c r="V57" s="4" t="s">
        <v>451</v>
      </c>
      <c r="W57" s="7" t="n">
        <v>57700</v>
      </c>
      <c r="X57" s="7" t="n">
        <v>4200000</v>
      </c>
      <c r="Y57" s="6" t="n">
        <f aca="false">IF(OR(W57="",W57=0,X57=""),"",X57/W57)</f>
        <v>72.790294627383</v>
      </c>
      <c r="Z57" s="4" t="n">
        <v>14</v>
      </c>
      <c r="AA57" s="4" t="s">
        <v>452</v>
      </c>
      <c r="AB57" s="8" t="s">
        <v>453</v>
      </c>
      <c r="AC57" s="9" t="s">
        <v>69</v>
      </c>
      <c r="AD57" s="10"/>
      <c r="AE57" s="4"/>
      <c r="AF57" s="11" t="n">
        <f aca="false">IF(AC57&lt;&gt;"Published",COUNTIF($AC$2:AC57,"&lt;&gt;Published"),"")</f>
        <v>56</v>
      </c>
    </row>
    <row r="58" customFormat="false" ht="26.85" hidden="false" customHeight="false" outlineLevel="0" collapsed="false">
      <c r="A58" s="4" t="n">
        <v>57</v>
      </c>
      <c r="B58" s="4" t="n">
        <f aca="false">ROUNDUP(A58/3,0)</f>
        <v>19</v>
      </c>
      <c r="C58" s="4" t="s">
        <v>392</v>
      </c>
      <c r="D58" s="4" t="s">
        <v>454</v>
      </c>
      <c r="E58" s="4" t="s">
        <v>56</v>
      </c>
      <c r="F58" s="5" t="s">
        <v>455</v>
      </c>
      <c r="G58" s="5" t="s">
        <v>456</v>
      </c>
      <c r="H58" s="4" t="s">
        <v>59</v>
      </c>
      <c r="I58" s="4" t="s">
        <v>100</v>
      </c>
      <c r="J58" s="4" t="s">
        <v>80</v>
      </c>
      <c r="K58" s="4" t="s">
        <v>62</v>
      </c>
      <c r="L58" s="4" t="s">
        <v>63</v>
      </c>
      <c r="M58" s="4" t="s">
        <v>75</v>
      </c>
      <c r="N58" s="4" t="n">
        <v>53</v>
      </c>
      <c r="O58" s="4" t="n">
        <v>26</v>
      </c>
      <c r="P58" s="4" t="n">
        <v>6</v>
      </c>
      <c r="Q58" s="4" t="n">
        <v>0</v>
      </c>
      <c r="R58" s="6" t="n">
        <v>2.88</v>
      </c>
      <c r="S58" s="6" t="n">
        <v>0.57</v>
      </c>
      <c r="T58" s="4" t="n">
        <v>12</v>
      </c>
      <c r="U58" s="5" t="s">
        <v>457</v>
      </c>
      <c r="V58" s="4" t="s">
        <v>94</v>
      </c>
      <c r="W58" s="7" t="n">
        <v>76600</v>
      </c>
      <c r="X58" s="7" t="n">
        <v>149000</v>
      </c>
      <c r="Y58" s="6" t="n">
        <f aca="false">IF(OR(W58="",W58=0,X58=""),"",X58/W58)</f>
        <v>1.94516971279373</v>
      </c>
      <c r="Z58" s="4" t="n">
        <v>17</v>
      </c>
      <c r="AA58" s="4" t="s">
        <v>458</v>
      </c>
      <c r="AB58" s="8" t="s">
        <v>459</v>
      </c>
      <c r="AC58" s="9" t="s">
        <v>69</v>
      </c>
      <c r="AD58" s="10"/>
      <c r="AE58" s="4"/>
      <c r="AF58" s="11" t="n">
        <f aca="false">IF(AC58&lt;&gt;"Published",COUNTIF($AC$2:AC58,"&lt;&gt;Published"),"")</f>
        <v>57</v>
      </c>
    </row>
    <row r="59" customFormat="false" ht="26.85" hidden="false" customHeight="false" outlineLevel="0" collapsed="false">
      <c r="A59" s="4" t="n">
        <v>58</v>
      </c>
      <c r="B59" s="4" t="n">
        <f aca="false">ROUNDUP(A59/3,0)</f>
        <v>20</v>
      </c>
      <c r="C59" s="4" t="s">
        <v>392</v>
      </c>
      <c r="D59" s="4" t="s">
        <v>460</v>
      </c>
      <c r="E59" s="4" t="s">
        <v>56</v>
      </c>
      <c r="F59" s="5" t="s">
        <v>461</v>
      </c>
      <c r="G59" s="5" t="s">
        <v>462</v>
      </c>
      <c r="H59" s="4" t="s">
        <v>74</v>
      </c>
      <c r="I59" s="4" t="s">
        <v>92</v>
      </c>
      <c r="J59" s="4" t="s">
        <v>454</v>
      </c>
      <c r="K59" s="4" t="s">
        <v>62</v>
      </c>
      <c r="L59" s="4" t="s">
        <v>84</v>
      </c>
      <c r="M59" s="4" t="s">
        <v>75</v>
      </c>
      <c r="N59" s="4" t="n">
        <v>53</v>
      </c>
      <c r="O59" s="4" t="n">
        <v>30</v>
      </c>
      <c r="P59" s="4" t="n">
        <v>6</v>
      </c>
      <c r="Q59" s="4" t="n">
        <v>2</v>
      </c>
      <c r="R59" s="6" t="n">
        <v>43.14</v>
      </c>
      <c r="S59" s="6" t="n">
        <v>2.88</v>
      </c>
      <c r="T59" s="4" t="n">
        <v>14.5</v>
      </c>
      <c r="U59" s="5" t="s">
        <v>463</v>
      </c>
      <c r="V59" s="4" t="s">
        <v>320</v>
      </c>
      <c r="W59" s="7" t="n">
        <v>13700</v>
      </c>
      <c r="X59" s="7" t="n">
        <v>591000</v>
      </c>
      <c r="Y59" s="6" t="n">
        <f aca="false">IF(OR(W59="",W59=0,X59=""),"",X59/W59)</f>
        <v>43.1386861313869</v>
      </c>
      <c r="Z59" s="4" t="n">
        <v>15</v>
      </c>
      <c r="AA59" s="4" t="s">
        <v>464</v>
      </c>
      <c r="AB59" s="8" t="s">
        <v>465</v>
      </c>
      <c r="AC59" s="9" t="s">
        <v>69</v>
      </c>
      <c r="AD59" s="10"/>
      <c r="AE59" s="4"/>
      <c r="AF59" s="11" t="n">
        <f aca="false">IF(AC59&lt;&gt;"Published",COUNTIF($AC$2:AC59,"&lt;&gt;Published"),"")</f>
        <v>58</v>
      </c>
    </row>
    <row r="60" customFormat="false" ht="26.85" hidden="false" customHeight="false" outlineLevel="0" collapsed="false">
      <c r="A60" s="4" t="n">
        <v>59</v>
      </c>
      <c r="B60" s="4" t="n">
        <f aca="false">ROUNDUP(A60/3,0)</f>
        <v>20</v>
      </c>
      <c r="C60" s="4" t="s">
        <v>392</v>
      </c>
      <c r="D60" s="4" t="s">
        <v>466</v>
      </c>
      <c r="E60" s="4" t="s">
        <v>71</v>
      </c>
      <c r="F60" s="5" t="s">
        <v>467</v>
      </c>
      <c r="G60" s="5" t="s">
        <v>468</v>
      </c>
      <c r="H60" s="4" t="s">
        <v>59</v>
      </c>
      <c r="I60" s="4" t="s">
        <v>377</v>
      </c>
      <c r="J60" s="4" t="s">
        <v>469</v>
      </c>
      <c r="K60" s="4" t="s">
        <v>215</v>
      </c>
      <c r="L60" s="4" t="s">
        <v>84</v>
      </c>
      <c r="M60" s="4" t="s">
        <v>425</v>
      </c>
      <c r="N60" s="4" t="n">
        <v>48</v>
      </c>
      <c r="O60" s="4" t="n">
        <v>32</v>
      </c>
      <c r="P60" s="4" t="n">
        <v>9</v>
      </c>
      <c r="Q60" s="4" t="n">
        <v>2</v>
      </c>
      <c r="R60" s="6" t="n">
        <v>18.79</v>
      </c>
      <c r="S60" s="6" t="n">
        <v>8.44</v>
      </c>
      <c r="T60" s="4" t="n">
        <v>3</v>
      </c>
      <c r="U60" s="5" t="s">
        <v>470</v>
      </c>
      <c r="V60" s="4" t="s">
        <v>471</v>
      </c>
      <c r="W60" s="7" t="n">
        <v>37100</v>
      </c>
      <c r="X60" s="7" t="n">
        <v>697000</v>
      </c>
      <c r="Y60" s="6" t="n">
        <f aca="false">IF(OR(W60="",W60=0,X60=""),"",X60/W60)</f>
        <v>18.7870619946092</v>
      </c>
      <c r="Z60" s="4" t="n">
        <v>0.25</v>
      </c>
      <c r="AA60" s="4" t="s">
        <v>472</v>
      </c>
      <c r="AB60" s="8" t="s">
        <v>473</v>
      </c>
      <c r="AC60" s="9" t="s">
        <v>69</v>
      </c>
      <c r="AD60" s="10"/>
      <c r="AE60" s="4"/>
      <c r="AF60" s="11" t="n">
        <f aca="false">IF(AC60&lt;&gt;"Published",COUNTIF($AC$2:AC60,"&lt;&gt;Published"),"")</f>
        <v>59</v>
      </c>
    </row>
    <row r="61" customFormat="false" ht="26.85" hidden="false" customHeight="false" outlineLevel="0" collapsed="false">
      <c r="A61" s="4" t="n">
        <v>60</v>
      </c>
      <c r="B61" s="4" t="n">
        <f aca="false">ROUNDUP(A61/3,0)</f>
        <v>20</v>
      </c>
      <c r="C61" s="4" t="s">
        <v>392</v>
      </c>
      <c r="D61" s="4" t="s">
        <v>474</v>
      </c>
      <c r="E61" s="4" t="s">
        <v>247</v>
      </c>
      <c r="F61" s="5" t="s">
        <v>475</v>
      </c>
      <c r="G61" s="5" t="s">
        <v>476</v>
      </c>
      <c r="H61" s="4" t="s">
        <v>59</v>
      </c>
      <c r="I61" s="4" t="s">
        <v>60</v>
      </c>
      <c r="J61" s="4" t="s">
        <v>405</v>
      </c>
      <c r="K61" s="4" t="s">
        <v>221</v>
      </c>
      <c r="L61" s="4" t="s">
        <v>84</v>
      </c>
      <c r="M61" s="4" t="s">
        <v>75</v>
      </c>
      <c r="N61" s="4" t="n">
        <v>47</v>
      </c>
      <c r="O61" s="4" t="n">
        <v>32</v>
      </c>
      <c r="P61" s="4" t="n">
        <v>3</v>
      </c>
      <c r="Q61" s="4" t="n">
        <v>0</v>
      </c>
      <c r="R61" s="6" t="n">
        <v>2.13</v>
      </c>
      <c r="S61" s="6" t="n">
        <v>1.71</v>
      </c>
      <c r="T61" s="4" t="n">
        <v>8</v>
      </c>
      <c r="U61" s="5" t="s">
        <v>477</v>
      </c>
      <c r="V61" s="4" t="s">
        <v>478</v>
      </c>
      <c r="W61" s="7" t="n">
        <v>146000</v>
      </c>
      <c r="X61" s="7" t="n">
        <v>311000</v>
      </c>
      <c r="Y61" s="6" t="n">
        <f aca="false">IF(OR(W61="",W61=0,X61=""),"",X61/W61)</f>
        <v>2.13013698630137</v>
      </c>
      <c r="Z61" s="4" t="n">
        <v>8</v>
      </c>
      <c r="AA61" s="4" t="s">
        <v>479</v>
      </c>
      <c r="AB61" s="8" t="s">
        <v>480</v>
      </c>
      <c r="AC61" s="9" t="s">
        <v>69</v>
      </c>
      <c r="AD61" s="10"/>
      <c r="AE61" s="4"/>
      <c r="AF61" s="11" t="n">
        <f aca="false">IF(AC61&lt;&gt;"Published",COUNTIF($AC$2:AC61,"&lt;&gt;Published"),"")</f>
        <v>60</v>
      </c>
    </row>
    <row r="62" customFormat="false" ht="26.85" hidden="false" customHeight="false" outlineLevel="0" collapsed="false">
      <c r="A62" s="4" t="n">
        <v>61</v>
      </c>
      <c r="B62" s="4" t="n">
        <f aca="false">ROUNDUP(A62/3,0)</f>
        <v>21</v>
      </c>
      <c r="C62" s="4" t="s">
        <v>392</v>
      </c>
      <c r="D62" s="4" t="s">
        <v>481</v>
      </c>
      <c r="E62" s="4" t="s">
        <v>431</v>
      </c>
      <c r="F62" s="5" t="s">
        <v>482</v>
      </c>
      <c r="G62" s="5" t="s">
        <v>483</v>
      </c>
      <c r="H62" s="4" t="s">
        <v>59</v>
      </c>
      <c r="I62" s="4" t="s">
        <v>100</v>
      </c>
      <c r="J62" s="4" t="s">
        <v>484</v>
      </c>
      <c r="K62" s="4" t="s">
        <v>221</v>
      </c>
      <c r="L62" s="4" t="s">
        <v>63</v>
      </c>
      <c r="M62" s="4" t="s">
        <v>75</v>
      </c>
      <c r="N62" s="4" t="n">
        <v>96</v>
      </c>
      <c r="O62" s="4" t="n">
        <v>41</v>
      </c>
      <c r="P62" s="4" t="n">
        <v>10</v>
      </c>
      <c r="Q62" s="4" t="n">
        <v>1</v>
      </c>
      <c r="R62" s="6" t="n">
        <v>12.2</v>
      </c>
      <c r="S62" s="6" t="n">
        <v>1.11</v>
      </c>
      <c r="T62" s="4" t="n">
        <v>11</v>
      </c>
      <c r="U62" s="5" t="s">
        <v>485</v>
      </c>
      <c r="V62" s="4" t="s">
        <v>163</v>
      </c>
      <c r="W62" s="7" t="n">
        <v>18600</v>
      </c>
      <c r="X62" s="7" t="n">
        <v>227000</v>
      </c>
      <c r="Y62" s="6" t="n">
        <f aca="false">IF(OR(W62="",W62=0,X62=""),"",X62/W62)</f>
        <v>12.2043010752688</v>
      </c>
      <c r="Z62" s="4" t="n">
        <v>11</v>
      </c>
      <c r="AA62" s="4" t="s">
        <v>486</v>
      </c>
      <c r="AB62" s="8" t="s">
        <v>487</v>
      </c>
      <c r="AC62" s="9" t="s">
        <v>69</v>
      </c>
      <c r="AD62" s="10"/>
      <c r="AE62" s="4"/>
      <c r="AF62" s="11" t="n">
        <f aca="false">IF(AC62&lt;&gt;"Published",COUNTIF($AC$2:AC62,"&lt;&gt;Published"),"")</f>
        <v>61</v>
      </c>
    </row>
    <row r="63" customFormat="false" ht="26.85" hidden="false" customHeight="false" outlineLevel="0" collapsed="false">
      <c r="A63" s="4" t="n">
        <v>62</v>
      </c>
      <c r="B63" s="4" t="n">
        <f aca="false">ROUNDUP(A63/3,0)</f>
        <v>21</v>
      </c>
      <c r="C63" s="4" t="s">
        <v>392</v>
      </c>
      <c r="D63" s="4" t="s">
        <v>488</v>
      </c>
      <c r="E63" s="4" t="s">
        <v>440</v>
      </c>
      <c r="F63" s="5" t="s">
        <v>489</v>
      </c>
      <c r="G63" s="5" t="s">
        <v>490</v>
      </c>
      <c r="H63" s="4" t="s">
        <v>74</v>
      </c>
      <c r="I63" s="4" t="s">
        <v>377</v>
      </c>
      <c r="J63" s="4" t="s">
        <v>439</v>
      </c>
      <c r="K63" s="4" t="s">
        <v>215</v>
      </c>
      <c r="L63" s="4" t="s">
        <v>84</v>
      </c>
      <c r="M63" s="4" t="s">
        <v>64</v>
      </c>
      <c r="N63" s="4" t="n">
        <v>52</v>
      </c>
      <c r="O63" s="4" t="n">
        <v>24</v>
      </c>
      <c r="P63" s="4" t="n">
        <v>4</v>
      </c>
      <c r="Q63" s="4" t="n">
        <v>2</v>
      </c>
      <c r="R63" s="6" t="n">
        <v>43.11</v>
      </c>
      <c r="S63" s="6" t="n">
        <v>4.31</v>
      </c>
      <c r="T63" s="4" t="n">
        <v>6</v>
      </c>
      <c r="U63" s="5" t="s">
        <v>491</v>
      </c>
      <c r="V63" s="4" t="s">
        <v>492</v>
      </c>
      <c r="W63" s="7" t="n">
        <v>5010</v>
      </c>
      <c r="X63" s="7" t="n">
        <v>216000</v>
      </c>
      <c r="Y63" s="6" t="n">
        <f aca="false">IF(OR(W63="",W63=0,X63=""),"",X63/W63)</f>
        <v>43.1137724550898</v>
      </c>
      <c r="Z63" s="4" t="n">
        <v>10</v>
      </c>
      <c r="AA63" s="4" t="s">
        <v>493</v>
      </c>
      <c r="AB63" s="8" t="s">
        <v>494</v>
      </c>
      <c r="AC63" s="9" t="s">
        <v>69</v>
      </c>
      <c r="AD63" s="10"/>
      <c r="AE63" s="4"/>
      <c r="AF63" s="11" t="n">
        <f aca="false">IF(AC63&lt;&gt;"Published",COUNTIF($AC$2:AC63,"&lt;&gt;Published"),"")</f>
        <v>62</v>
      </c>
    </row>
    <row r="64" customFormat="false" ht="26.85" hidden="false" customHeight="false" outlineLevel="0" collapsed="false">
      <c r="A64" s="4" t="n">
        <v>63</v>
      </c>
      <c r="B64" s="4" t="n">
        <f aca="false">ROUNDUP(A64/3,0)</f>
        <v>21</v>
      </c>
      <c r="C64" s="4" t="s">
        <v>392</v>
      </c>
      <c r="D64" s="4" t="s">
        <v>495</v>
      </c>
      <c r="E64" s="4" t="s">
        <v>447</v>
      </c>
      <c r="F64" s="5" t="s">
        <v>496</v>
      </c>
      <c r="G64" s="5" t="s">
        <v>497</v>
      </c>
      <c r="H64" s="4" t="s">
        <v>59</v>
      </c>
      <c r="I64" s="4" t="s">
        <v>60</v>
      </c>
      <c r="J64" s="4" t="s">
        <v>61</v>
      </c>
      <c r="K64" s="4" t="s">
        <v>215</v>
      </c>
      <c r="L64" s="4" t="s">
        <v>84</v>
      </c>
      <c r="M64" s="4" t="s">
        <v>425</v>
      </c>
      <c r="N64" s="4" t="n">
        <v>47</v>
      </c>
      <c r="O64" s="4" t="n">
        <v>37</v>
      </c>
      <c r="P64" s="4" t="n">
        <v>1</v>
      </c>
      <c r="Q64" s="4" t="n">
        <v>1</v>
      </c>
      <c r="R64" s="6" t="n">
        <v>14.16</v>
      </c>
      <c r="S64" s="6" t="n">
        <v>14.16</v>
      </c>
      <c r="T64" s="4" t="n">
        <v>1</v>
      </c>
      <c r="U64" s="5" t="s">
        <v>498</v>
      </c>
      <c r="V64" s="4" t="s">
        <v>499</v>
      </c>
      <c r="W64" s="7" t="n">
        <v>13700</v>
      </c>
      <c r="X64" s="7" t="n">
        <v>194000</v>
      </c>
      <c r="Y64" s="6" t="n">
        <f aca="false">IF(OR(W64="",W64=0,X64=""),"",X64/W64)</f>
        <v>14.1605839416058</v>
      </c>
      <c r="Z64" s="4" t="n">
        <v>1</v>
      </c>
      <c r="AA64" s="4" t="s">
        <v>500</v>
      </c>
      <c r="AB64" s="8" t="s">
        <v>501</v>
      </c>
      <c r="AC64" s="9" t="s">
        <v>69</v>
      </c>
      <c r="AD64" s="10"/>
      <c r="AE64" s="4"/>
      <c r="AF64" s="11" t="n">
        <f aca="false">IF(AC64&lt;&gt;"Published",COUNTIF($AC$2:AC64,"&lt;&gt;Published"),"")</f>
        <v>63</v>
      </c>
    </row>
    <row r="65" customFormat="false" ht="26.85" hidden="false" customHeight="false" outlineLevel="0" collapsed="false">
      <c r="A65" s="4" t="n">
        <v>64</v>
      </c>
      <c r="B65" s="4" t="n">
        <f aca="false">ROUNDUP(A65/3,0)</f>
        <v>22</v>
      </c>
      <c r="C65" s="4" t="s">
        <v>392</v>
      </c>
      <c r="D65" s="4" t="s">
        <v>502</v>
      </c>
      <c r="E65" s="4" t="s">
        <v>56</v>
      </c>
      <c r="F65" s="5" t="s">
        <v>503</v>
      </c>
      <c r="G65" s="5" t="s">
        <v>504</v>
      </c>
      <c r="H65" s="4" t="s">
        <v>74</v>
      </c>
      <c r="I65" s="4" t="s">
        <v>60</v>
      </c>
      <c r="J65" s="4" t="s">
        <v>460</v>
      </c>
      <c r="K65" s="4" t="s">
        <v>62</v>
      </c>
      <c r="L65" s="4" t="s">
        <v>63</v>
      </c>
      <c r="M65" s="4" t="s">
        <v>75</v>
      </c>
      <c r="N65" s="4" t="n">
        <v>76</v>
      </c>
      <c r="O65" s="4" t="n">
        <v>46</v>
      </c>
      <c r="P65" s="4" t="n">
        <v>16</v>
      </c>
      <c r="Q65" s="4" t="n">
        <v>1</v>
      </c>
      <c r="R65" s="6" t="n">
        <v>9.94</v>
      </c>
      <c r="S65" s="6" t="n">
        <v>1.17</v>
      </c>
      <c r="T65" s="4" t="n">
        <v>10</v>
      </c>
      <c r="U65" s="5" t="s">
        <v>505</v>
      </c>
      <c r="V65" s="4" t="s">
        <v>506</v>
      </c>
      <c r="W65" s="7" t="n">
        <v>146000</v>
      </c>
      <c r="X65" s="7" t="n">
        <v>500000</v>
      </c>
      <c r="Y65" s="6" t="n">
        <f aca="false">IF(OR(W65="",W65=0,X65=""),"",X65/W65)</f>
        <v>3.42465753424658</v>
      </c>
      <c r="Z65" s="4" t="n">
        <v>10</v>
      </c>
      <c r="AA65" s="4" t="s">
        <v>507</v>
      </c>
      <c r="AB65" s="8" t="s">
        <v>508</v>
      </c>
      <c r="AC65" s="9" t="s">
        <v>69</v>
      </c>
      <c r="AD65" s="10"/>
      <c r="AE65" s="4"/>
      <c r="AF65" s="11" t="n">
        <f aca="false">IF(AC65&lt;&gt;"Published",COUNTIF($AC$2:AC65,"&lt;&gt;Published"),"")</f>
        <v>64</v>
      </c>
    </row>
    <row r="66" customFormat="false" ht="26.85" hidden="false" customHeight="false" outlineLevel="0" collapsed="false">
      <c r="A66" s="4" t="n">
        <v>65</v>
      </c>
      <c r="B66" s="4" t="n">
        <f aca="false">ROUNDUP(A66/3,0)</f>
        <v>22</v>
      </c>
      <c r="C66" s="4" t="s">
        <v>392</v>
      </c>
      <c r="D66" s="4" t="s">
        <v>509</v>
      </c>
      <c r="E66" s="4" t="s">
        <v>56</v>
      </c>
      <c r="F66" s="5" t="s">
        <v>510</v>
      </c>
      <c r="G66" s="5" t="s">
        <v>511</v>
      </c>
      <c r="H66" s="4" t="s">
        <v>59</v>
      </c>
      <c r="I66" s="4" t="s">
        <v>60</v>
      </c>
      <c r="J66" s="4" t="s">
        <v>460</v>
      </c>
      <c r="K66" s="4" t="s">
        <v>62</v>
      </c>
      <c r="L66" s="4" t="s">
        <v>84</v>
      </c>
      <c r="M66" s="4" t="s">
        <v>75</v>
      </c>
      <c r="N66" s="4" t="n">
        <v>14</v>
      </c>
      <c r="O66" s="4" t="n">
        <v>12</v>
      </c>
      <c r="P66" s="4" t="n">
        <v>3</v>
      </c>
      <c r="Q66" s="4" t="n">
        <v>1</v>
      </c>
      <c r="R66" s="6" t="n">
        <v>42.19</v>
      </c>
      <c r="S66" s="6" t="n">
        <v>8.44</v>
      </c>
      <c r="T66" s="4" t="n">
        <v>10</v>
      </c>
      <c r="U66" s="5" t="s">
        <v>512</v>
      </c>
      <c r="V66" s="4" t="s">
        <v>382</v>
      </c>
      <c r="W66" s="7" t="n">
        <v>1280</v>
      </c>
      <c r="X66" s="7" t="n">
        <v>54000</v>
      </c>
      <c r="Y66" s="6" t="n">
        <f aca="false">IF(OR(W66="",W66=0,X66=""),"",X66/W66)</f>
        <v>42.1875</v>
      </c>
      <c r="Z66" s="4" t="n">
        <v>5</v>
      </c>
      <c r="AA66" s="4" t="s">
        <v>513</v>
      </c>
      <c r="AB66" s="8" t="s">
        <v>514</v>
      </c>
      <c r="AC66" s="9" t="s">
        <v>69</v>
      </c>
      <c r="AD66" s="10"/>
      <c r="AE66" s="4"/>
      <c r="AF66" s="11" t="n">
        <f aca="false">IF(AC66&lt;&gt;"Published",COUNTIF($AC$2:AC66,"&lt;&gt;Published"),"")</f>
        <v>65</v>
      </c>
    </row>
    <row r="67" customFormat="false" ht="26.85" hidden="false" customHeight="false" outlineLevel="0" collapsed="false">
      <c r="A67" s="4" t="n">
        <v>66</v>
      </c>
      <c r="B67" s="4" t="n">
        <f aca="false">ROUNDUP(A67/3,0)</f>
        <v>22</v>
      </c>
      <c r="C67" s="4" t="s">
        <v>392</v>
      </c>
      <c r="D67" s="4" t="s">
        <v>484</v>
      </c>
      <c r="E67" s="4" t="s">
        <v>71</v>
      </c>
      <c r="F67" s="5" t="s">
        <v>515</v>
      </c>
      <c r="G67" s="5" t="s">
        <v>516</v>
      </c>
      <c r="H67" s="4" t="s">
        <v>74</v>
      </c>
      <c r="I67" s="4" t="s">
        <v>92</v>
      </c>
      <c r="J67" s="4" t="s">
        <v>517</v>
      </c>
      <c r="K67" s="4" t="s">
        <v>215</v>
      </c>
      <c r="L67" s="4" t="s">
        <v>63</v>
      </c>
      <c r="M67" s="4" t="s">
        <v>64</v>
      </c>
      <c r="N67" s="4" t="n">
        <v>58</v>
      </c>
      <c r="O67" s="4" t="n">
        <v>39</v>
      </c>
      <c r="P67" s="4" t="n">
        <v>4</v>
      </c>
      <c r="Q67" s="4" t="n">
        <v>1</v>
      </c>
      <c r="R67" s="6" t="n">
        <v>8.35</v>
      </c>
      <c r="S67" s="6" t="n">
        <v>1.39</v>
      </c>
      <c r="T67" s="4" t="n">
        <v>4.5</v>
      </c>
      <c r="U67" s="5" t="s">
        <v>518</v>
      </c>
      <c r="V67" s="4" t="s">
        <v>122</v>
      </c>
      <c r="W67" s="7" t="n">
        <v>74100</v>
      </c>
      <c r="X67" s="7" t="n">
        <v>619000</v>
      </c>
      <c r="Y67" s="6" t="n">
        <f aca="false">IF(OR(W67="",W67=0,X67=""),"",X67/W67)</f>
        <v>8.35357624831309</v>
      </c>
      <c r="Z67" s="4" t="n">
        <v>6</v>
      </c>
      <c r="AA67" s="4" t="s">
        <v>519</v>
      </c>
      <c r="AB67" s="8" t="s">
        <v>520</v>
      </c>
      <c r="AC67" s="9" t="s">
        <v>69</v>
      </c>
      <c r="AD67" s="10"/>
      <c r="AE67" s="4"/>
      <c r="AF67" s="11" t="n">
        <f aca="false">IF(AC67&lt;&gt;"Published",COUNTIF($AC$2:AC67,"&lt;&gt;Published"),"")</f>
        <v>66</v>
      </c>
    </row>
    <row r="68" customFormat="false" ht="26.85" hidden="false" customHeight="false" outlineLevel="0" collapsed="false">
      <c r="A68" s="4" t="n">
        <v>67</v>
      </c>
      <c r="B68" s="4" t="n">
        <f aca="false">ROUNDUP(A68/3,0)</f>
        <v>23</v>
      </c>
      <c r="C68" s="4" t="s">
        <v>392</v>
      </c>
      <c r="D68" s="4" t="s">
        <v>434</v>
      </c>
      <c r="E68" s="4" t="s">
        <v>247</v>
      </c>
      <c r="F68" s="5" t="s">
        <v>521</v>
      </c>
      <c r="G68" s="5" t="s">
        <v>522</v>
      </c>
      <c r="H68" s="4" t="s">
        <v>74</v>
      </c>
      <c r="I68" s="4" t="s">
        <v>92</v>
      </c>
      <c r="J68" s="4" t="s">
        <v>329</v>
      </c>
      <c r="K68" s="4" t="s">
        <v>62</v>
      </c>
      <c r="L68" s="4" t="s">
        <v>63</v>
      </c>
      <c r="M68" s="4" t="s">
        <v>75</v>
      </c>
      <c r="N68" s="4" t="n">
        <v>70</v>
      </c>
      <c r="O68" s="4" t="n">
        <v>38</v>
      </c>
      <c r="P68" s="4" t="n">
        <v>14</v>
      </c>
      <c r="Q68" s="4" t="n">
        <v>1</v>
      </c>
      <c r="R68" s="6" t="n">
        <v>12.8</v>
      </c>
      <c r="S68" s="6" t="n">
        <v>1.16</v>
      </c>
      <c r="T68" s="4" t="n">
        <v>14</v>
      </c>
      <c r="U68" s="5" t="s">
        <v>523</v>
      </c>
      <c r="V68" s="4" t="s">
        <v>524</v>
      </c>
      <c r="W68" s="7" t="n">
        <v>20900</v>
      </c>
      <c r="X68" s="7" t="n">
        <v>241000</v>
      </c>
      <c r="Y68" s="6" t="n">
        <f aca="false">IF(OR(W68="",W68=0,X68=""),"",X68/W68)</f>
        <v>11.5311004784689</v>
      </c>
      <c r="Z68" s="4" t="n">
        <v>17</v>
      </c>
      <c r="AA68" s="4" t="s">
        <v>525</v>
      </c>
      <c r="AB68" s="8" t="s">
        <v>526</v>
      </c>
      <c r="AC68" s="9" t="s">
        <v>69</v>
      </c>
      <c r="AD68" s="10"/>
      <c r="AE68" s="4"/>
      <c r="AF68" s="11" t="n">
        <f aca="false">IF(AC68&lt;&gt;"Published",COUNTIF($AC$2:AC68,"&lt;&gt;Published"),"")</f>
        <v>67</v>
      </c>
    </row>
    <row r="69" customFormat="false" ht="26.85" hidden="false" customHeight="false" outlineLevel="0" collapsed="false">
      <c r="A69" s="4" t="n">
        <v>68</v>
      </c>
      <c r="B69" s="4" t="n">
        <f aca="false">ROUNDUP(A69/3,0)</f>
        <v>23</v>
      </c>
      <c r="C69" s="4" t="s">
        <v>392</v>
      </c>
      <c r="D69" s="4" t="s">
        <v>527</v>
      </c>
      <c r="E69" s="4" t="s">
        <v>431</v>
      </c>
      <c r="F69" s="5" t="s">
        <v>528</v>
      </c>
      <c r="G69" s="5" t="s">
        <v>529</v>
      </c>
      <c r="H69" s="4" t="s">
        <v>74</v>
      </c>
      <c r="I69" s="4" t="s">
        <v>60</v>
      </c>
      <c r="J69" s="4" t="s">
        <v>61</v>
      </c>
      <c r="K69" s="4" t="s">
        <v>83</v>
      </c>
      <c r="L69" s="4" t="s">
        <v>63</v>
      </c>
      <c r="M69" s="4" t="s">
        <v>75</v>
      </c>
      <c r="N69" s="4" t="n">
        <v>58</v>
      </c>
      <c r="O69" s="4" t="n">
        <v>21</v>
      </c>
      <c r="P69" s="4" t="n">
        <v>8</v>
      </c>
      <c r="Q69" s="4" t="n">
        <v>0</v>
      </c>
      <c r="R69" s="6" t="n">
        <v>8.88</v>
      </c>
      <c r="S69" s="6" t="n">
        <v>0.99</v>
      </c>
      <c r="T69" s="4" t="n">
        <v>11</v>
      </c>
      <c r="U69" s="5" t="s">
        <v>530</v>
      </c>
      <c r="V69" s="4" t="s">
        <v>436</v>
      </c>
      <c r="W69" s="7" t="n">
        <v>112000</v>
      </c>
      <c r="X69" s="7" t="n">
        <v>994000</v>
      </c>
      <c r="Y69" s="6" t="n">
        <f aca="false">IF(OR(W69="",W69=0,X69=""),"",X69/W69)</f>
        <v>8.875</v>
      </c>
      <c r="Z69" s="4" t="n">
        <v>9</v>
      </c>
      <c r="AA69" s="4" t="s">
        <v>531</v>
      </c>
      <c r="AB69" s="8" t="s">
        <v>532</v>
      </c>
      <c r="AC69" s="9" t="s">
        <v>69</v>
      </c>
      <c r="AD69" s="10"/>
      <c r="AE69" s="4"/>
      <c r="AF69" s="11" t="n">
        <f aca="false">IF(AC69&lt;&gt;"Published",COUNTIF($AC$2:AC69,"&lt;&gt;Published"),"")</f>
        <v>68</v>
      </c>
    </row>
    <row r="70" customFormat="false" ht="26.85" hidden="false" customHeight="false" outlineLevel="0" collapsed="false">
      <c r="A70" s="4" t="n">
        <v>69</v>
      </c>
      <c r="B70" s="4" t="n">
        <f aca="false">ROUNDUP(A70/3,0)</f>
        <v>23</v>
      </c>
      <c r="C70" s="4" t="s">
        <v>392</v>
      </c>
      <c r="D70" s="4" t="s">
        <v>533</v>
      </c>
      <c r="E70" s="4" t="s">
        <v>440</v>
      </c>
      <c r="F70" s="5" t="s">
        <v>534</v>
      </c>
      <c r="G70" s="5" t="s">
        <v>535</v>
      </c>
      <c r="H70" s="4" t="s">
        <v>74</v>
      </c>
      <c r="I70" s="4" t="s">
        <v>92</v>
      </c>
      <c r="J70" s="4" t="s">
        <v>488</v>
      </c>
      <c r="K70" s="4" t="s">
        <v>228</v>
      </c>
      <c r="L70" s="4" t="s">
        <v>84</v>
      </c>
      <c r="M70" s="4" t="s">
        <v>425</v>
      </c>
      <c r="N70" s="4" t="n">
        <v>47</v>
      </c>
      <c r="O70" s="4" t="n">
        <v>33</v>
      </c>
      <c r="P70" s="4" t="n">
        <v>3</v>
      </c>
      <c r="Q70" s="4" t="n">
        <v>2</v>
      </c>
      <c r="R70" s="6" t="n">
        <v>20.36</v>
      </c>
      <c r="S70" s="6" t="n">
        <v>6.79</v>
      </c>
      <c r="T70" s="4" t="n">
        <v>3</v>
      </c>
      <c r="U70" s="5" t="s">
        <v>536</v>
      </c>
      <c r="V70" s="4" t="s">
        <v>537</v>
      </c>
      <c r="W70" s="7" t="n">
        <v>2800</v>
      </c>
      <c r="X70" s="7" t="n">
        <v>57000</v>
      </c>
      <c r="Y70" s="6" t="n">
        <f aca="false">IF(OR(W70="",W70=0,X70=""),"",X70/W70)</f>
        <v>20.3571428571429</v>
      </c>
      <c r="Z70" s="4" t="n">
        <v>3</v>
      </c>
      <c r="AA70" s="4" t="s">
        <v>538</v>
      </c>
      <c r="AB70" s="8" t="s">
        <v>539</v>
      </c>
      <c r="AC70" s="9" t="s">
        <v>69</v>
      </c>
      <c r="AD70" s="10"/>
      <c r="AE70" s="4"/>
      <c r="AF70" s="11" t="n">
        <f aca="false">IF(AC70&lt;&gt;"Published",COUNTIF($AC$2:AC70,"&lt;&gt;Published"),"")</f>
        <v>69</v>
      </c>
    </row>
    <row r="71" customFormat="false" ht="26.85" hidden="false" customHeight="false" outlineLevel="0" collapsed="false">
      <c r="A71" s="4" t="n">
        <v>70</v>
      </c>
      <c r="B71" s="4" t="n">
        <f aca="false">ROUNDUP(A71/3,0)</f>
        <v>24</v>
      </c>
      <c r="C71" s="4" t="s">
        <v>392</v>
      </c>
      <c r="D71" s="4" t="s">
        <v>540</v>
      </c>
      <c r="E71" s="4" t="s">
        <v>447</v>
      </c>
      <c r="F71" s="5" t="s">
        <v>541</v>
      </c>
      <c r="G71" s="5" t="s">
        <v>542</v>
      </c>
      <c r="H71" s="4" t="s">
        <v>59</v>
      </c>
      <c r="I71" s="4" t="s">
        <v>92</v>
      </c>
      <c r="J71" s="4" t="s">
        <v>495</v>
      </c>
      <c r="K71" s="4" t="s">
        <v>215</v>
      </c>
      <c r="L71" s="4" t="s">
        <v>84</v>
      </c>
      <c r="M71" s="4" t="s">
        <v>425</v>
      </c>
      <c r="N71" s="4" t="n">
        <v>53</v>
      </c>
      <c r="O71" s="4" t="n">
        <v>28</v>
      </c>
      <c r="P71" s="4" t="n">
        <v>5</v>
      </c>
      <c r="Q71" s="4" t="n">
        <v>2</v>
      </c>
      <c r="R71" s="6" t="n">
        <v>14.16</v>
      </c>
      <c r="S71" s="6" t="n">
        <v>14.16</v>
      </c>
      <c r="T71" s="4" t="n">
        <v>1</v>
      </c>
      <c r="U71" s="5" t="s">
        <v>498</v>
      </c>
      <c r="V71" s="4" t="s">
        <v>499</v>
      </c>
      <c r="W71" s="7" t="n">
        <v>13700</v>
      </c>
      <c r="X71" s="7" t="n">
        <v>194000</v>
      </c>
      <c r="Y71" s="6" t="n">
        <f aca="false">IF(OR(W71="",W71=0,X71=""),"",X71/W71)</f>
        <v>14.1605839416058</v>
      </c>
      <c r="Z71" s="4" t="n">
        <v>1</v>
      </c>
      <c r="AA71" s="4" t="s">
        <v>500</v>
      </c>
      <c r="AB71" s="8" t="s">
        <v>501</v>
      </c>
      <c r="AC71" s="9" t="s">
        <v>69</v>
      </c>
      <c r="AD71" s="10"/>
      <c r="AE71" s="4"/>
      <c r="AF71" s="11" t="n">
        <f aca="false">IF(AC71&lt;&gt;"Published",COUNTIF($AC$2:AC71,"&lt;&gt;Published"),"")</f>
        <v>70</v>
      </c>
    </row>
    <row r="72" customFormat="false" ht="26.85" hidden="false" customHeight="false" outlineLevel="0" collapsed="false">
      <c r="A72" s="4" t="n">
        <v>71</v>
      </c>
      <c r="B72" s="4" t="n">
        <f aca="false">ROUNDUP(A72/3,0)</f>
        <v>24</v>
      </c>
      <c r="C72" s="4" t="s">
        <v>392</v>
      </c>
      <c r="D72" s="4" t="s">
        <v>543</v>
      </c>
      <c r="E72" s="4" t="s">
        <v>56</v>
      </c>
      <c r="F72" s="5" t="s">
        <v>544</v>
      </c>
      <c r="G72" s="5" t="s">
        <v>545</v>
      </c>
      <c r="H72" s="4" t="s">
        <v>74</v>
      </c>
      <c r="I72" s="4" t="s">
        <v>60</v>
      </c>
      <c r="J72" s="4" t="s">
        <v>502</v>
      </c>
      <c r="K72" s="4" t="s">
        <v>62</v>
      </c>
      <c r="L72" s="4" t="s">
        <v>84</v>
      </c>
      <c r="M72" s="4" t="s">
        <v>75</v>
      </c>
      <c r="N72" s="4" t="n">
        <v>84</v>
      </c>
      <c r="O72" s="4" t="n">
        <v>41</v>
      </c>
      <c r="P72" s="4" t="n">
        <v>19</v>
      </c>
      <c r="Q72" s="4" t="n">
        <v>1</v>
      </c>
      <c r="R72" s="6" t="n">
        <v>189.81</v>
      </c>
      <c r="S72" s="6" t="n">
        <v>17.26</v>
      </c>
      <c r="T72" s="4" t="n">
        <v>10</v>
      </c>
      <c r="U72" s="5" t="s">
        <v>546</v>
      </c>
      <c r="V72" s="4" t="s">
        <v>371</v>
      </c>
      <c r="W72" s="7" t="n">
        <v>21600</v>
      </c>
      <c r="X72" s="7" t="n">
        <v>4100000</v>
      </c>
      <c r="Y72" s="6" t="n">
        <f aca="false">IF(OR(W72="",W72=0,X72=""),"",X72/W72)</f>
        <v>189.814814814815</v>
      </c>
      <c r="Z72" s="4" t="n">
        <v>11</v>
      </c>
      <c r="AA72" s="4" t="s">
        <v>547</v>
      </c>
      <c r="AB72" s="8" t="s">
        <v>548</v>
      </c>
      <c r="AC72" s="9" t="s">
        <v>69</v>
      </c>
      <c r="AD72" s="10"/>
      <c r="AE72" s="4"/>
      <c r="AF72" s="11" t="n">
        <f aca="false">IF(AC72&lt;&gt;"Published",COUNTIF($AC$2:AC72,"&lt;&gt;Published"),"")</f>
        <v>71</v>
      </c>
    </row>
    <row r="73" customFormat="false" ht="26.85" hidden="false" customHeight="false" outlineLevel="0" collapsed="false">
      <c r="A73" s="4" t="n">
        <v>72</v>
      </c>
      <c r="B73" s="4" t="n">
        <f aca="false">ROUNDUP(A73/3,0)</f>
        <v>24</v>
      </c>
      <c r="C73" s="4" t="s">
        <v>392</v>
      </c>
      <c r="D73" s="4" t="s">
        <v>549</v>
      </c>
      <c r="E73" s="4" t="s">
        <v>56</v>
      </c>
      <c r="F73" s="5" t="s">
        <v>550</v>
      </c>
      <c r="G73" s="5" t="s">
        <v>551</v>
      </c>
      <c r="H73" s="4" t="s">
        <v>59</v>
      </c>
      <c r="I73" s="4" t="s">
        <v>60</v>
      </c>
      <c r="J73" s="4" t="s">
        <v>543</v>
      </c>
      <c r="K73" s="4" t="s">
        <v>215</v>
      </c>
      <c r="L73" s="4" t="s">
        <v>84</v>
      </c>
      <c r="M73" s="4" t="s">
        <v>75</v>
      </c>
      <c r="N73" s="4" t="n">
        <v>12</v>
      </c>
      <c r="O73" s="4" t="n">
        <v>10</v>
      </c>
      <c r="P73" s="4" t="n">
        <v>2</v>
      </c>
      <c r="Q73" s="4" t="n">
        <v>1</v>
      </c>
      <c r="R73" s="6" t="n">
        <v>222.16</v>
      </c>
      <c r="S73" s="6" t="n">
        <v>22.22</v>
      </c>
      <c r="T73" s="4" t="n">
        <v>10.5</v>
      </c>
      <c r="U73" s="5" t="s">
        <v>552</v>
      </c>
      <c r="V73" s="4" t="s">
        <v>553</v>
      </c>
      <c r="W73" s="7" t="n">
        <v>3610</v>
      </c>
      <c r="X73" s="7" t="n">
        <v>802000</v>
      </c>
      <c r="Y73" s="6" t="n">
        <f aca="false">IF(OR(W73="",W73=0,X73=""),"",X73/W73)</f>
        <v>222.160664819945</v>
      </c>
      <c r="Z73" s="4" t="n">
        <v>10</v>
      </c>
      <c r="AA73" s="4" t="s">
        <v>554</v>
      </c>
      <c r="AB73" s="8" t="s">
        <v>555</v>
      </c>
      <c r="AC73" s="9" t="s">
        <v>69</v>
      </c>
      <c r="AD73" s="10"/>
      <c r="AE73" s="4"/>
      <c r="AF73" s="11" t="n">
        <f aca="false">IF(AC73&lt;&gt;"Published",COUNTIF($AC$2:AC73,"&lt;&gt;Published"),"")</f>
        <v>72</v>
      </c>
    </row>
    <row r="74" customFormat="false" ht="26.85" hidden="false" customHeight="false" outlineLevel="0" collapsed="false">
      <c r="A74" s="4" t="n">
        <v>73</v>
      </c>
      <c r="B74" s="4" t="n">
        <f aca="false">ROUNDUP(A74/3,0)</f>
        <v>25</v>
      </c>
      <c r="C74" s="4" t="s">
        <v>392</v>
      </c>
      <c r="D74" s="4" t="s">
        <v>556</v>
      </c>
      <c r="E74" s="4" t="s">
        <v>71</v>
      </c>
      <c r="F74" s="5" t="s">
        <v>557</v>
      </c>
      <c r="G74" s="5" t="s">
        <v>558</v>
      </c>
      <c r="H74" s="4" t="s">
        <v>59</v>
      </c>
      <c r="I74" s="4" t="s">
        <v>60</v>
      </c>
      <c r="J74" s="4" t="s">
        <v>484</v>
      </c>
      <c r="K74" s="4" t="s">
        <v>215</v>
      </c>
      <c r="L74" s="4" t="s">
        <v>63</v>
      </c>
      <c r="M74" s="4" t="s">
        <v>64</v>
      </c>
      <c r="N74" s="4" t="n">
        <v>12</v>
      </c>
      <c r="O74" s="4" t="n">
        <v>11</v>
      </c>
      <c r="P74" s="4" t="n">
        <v>1</v>
      </c>
      <c r="Q74" s="4" t="n">
        <v>0</v>
      </c>
      <c r="R74" s="6" t="n">
        <v>1.25</v>
      </c>
      <c r="S74" s="6" t="n">
        <v>0.33</v>
      </c>
      <c r="T74" s="4" t="n">
        <v>4</v>
      </c>
      <c r="U74" s="5" t="s">
        <v>559</v>
      </c>
      <c r="V74" s="4" t="s">
        <v>560</v>
      </c>
      <c r="W74" s="7" t="n">
        <v>98400</v>
      </c>
      <c r="X74" s="7" t="n">
        <v>123000</v>
      </c>
      <c r="Y74" s="6" t="n">
        <f aca="false">IF(OR(W74="",W74=0,X74=""),"",X74/W74)</f>
        <v>1.25</v>
      </c>
      <c r="Z74" s="4" t="n">
        <v>4</v>
      </c>
      <c r="AA74" s="4" t="s">
        <v>561</v>
      </c>
      <c r="AB74" s="8" t="s">
        <v>562</v>
      </c>
      <c r="AC74" s="9" t="s">
        <v>69</v>
      </c>
      <c r="AD74" s="10"/>
      <c r="AE74" s="4"/>
      <c r="AF74" s="11" t="n">
        <f aca="false">IF(AC74&lt;&gt;"Published",COUNTIF($AC$2:AC74,"&lt;&gt;Published"),"")</f>
        <v>73</v>
      </c>
    </row>
    <row r="75" customFormat="false" ht="26.85" hidden="false" customHeight="false" outlineLevel="0" collapsed="false">
      <c r="A75" s="4" t="n">
        <v>74</v>
      </c>
      <c r="B75" s="4" t="n">
        <f aca="false">ROUNDUP(A75/3,0)</f>
        <v>25</v>
      </c>
      <c r="C75" s="4" t="s">
        <v>392</v>
      </c>
      <c r="D75" s="4" t="s">
        <v>563</v>
      </c>
      <c r="E75" s="4" t="s">
        <v>71</v>
      </c>
      <c r="F75" s="5" t="s">
        <v>564</v>
      </c>
      <c r="G75" s="5" t="s">
        <v>565</v>
      </c>
      <c r="H75" s="4" t="s">
        <v>422</v>
      </c>
      <c r="I75" s="4" t="s">
        <v>566</v>
      </c>
      <c r="J75" s="4" t="s">
        <v>567</v>
      </c>
      <c r="K75" s="4" t="s">
        <v>62</v>
      </c>
      <c r="L75" s="4" t="s">
        <v>292</v>
      </c>
      <c r="M75" s="4" t="s">
        <v>293</v>
      </c>
      <c r="N75" s="4" t="n">
        <v>2</v>
      </c>
      <c r="O75" s="4" t="n">
        <v>2</v>
      </c>
      <c r="P75" s="4" t="n">
        <v>0</v>
      </c>
      <c r="Q75" s="4" t="n">
        <v>0</v>
      </c>
      <c r="R75" s="6" t="n">
        <v>0.37</v>
      </c>
      <c r="S75" s="6" t="n">
        <v>0.63</v>
      </c>
      <c r="T75" s="4"/>
      <c r="U75" s="5" t="s">
        <v>568</v>
      </c>
      <c r="V75" s="4" t="s">
        <v>569</v>
      </c>
      <c r="W75" s="7" t="n">
        <v>16300</v>
      </c>
      <c r="X75" s="7" t="n">
        <v>6000</v>
      </c>
      <c r="Y75" s="6" t="n">
        <f aca="false">IF(OR(W75="",W75=0,X75=""),"",X75/W75)</f>
        <v>0.368098159509202</v>
      </c>
      <c r="Z75" s="4" t="n">
        <v>0.58</v>
      </c>
      <c r="AA75" s="4" t="s">
        <v>570</v>
      </c>
      <c r="AB75" s="8" t="s">
        <v>571</v>
      </c>
      <c r="AC75" s="9" t="s">
        <v>69</v>
      </c>
      <c r="AD75" s="10"/>
      <c r="AE75" s="4"/>
      <c r="AF75" s="11" t="n">
        <f aca="false">IF(AC75&lt;&gt;"Published",COUNTIF($AC$2:AC75,"&lt;&gt;Published"),"")</f>
        <v>74</v>
      </c>
    </row>
    <row r="76" customFormat="false" ht="26.85" hidden="false" customHeight="false" outlineLevel="0" collapsed="false">
      <c r="A76" s="4" t="n">
        <v>75</v>
      </c>
      <c r="B76" s="4" t="n">
        <f aca="false">ROUNDUP(A76/3,0)</f>
        <v>25</v>
      </c>
      <c r="C76" s="4" t="s">
        <v>392</v>
      </c>
      <c r="D76" s="4" t="s">
        <v>572</v>
      </c>
      <c r="E76" s="4" t="s">
        <v>71</v>
      </c>
      <c r="F76" s="5" t="s">
        <v>573</v>
      </c>
      <c r="G76" s="5" t="s">
        <v>574</v>
      </c>
      <c r="H76" s="4" t="s">
        <v>422</v>
      </c>
      <c r="I76" s="4" t="s">
        <v>566</v>
      </c>
      <c r="J76" s="4" t="s">
        <v>575</v>
      </c>
      <c r="K76" s="4" t="s">
        <v>62</v>
      </c>
      <c r="L76" s="4" t="s">
        <v>63</v>
      </c>
      <c r="M76" s="4" t="s">
        <v>64</v>
      </c>
      <c r="N76" s="4" t="n">
        <v>3</v>
      </c>
      <c r="O76" s="4" t="n">
        <v>3</v>
      </c>
      <c r="P76" s="4" t="n">
        <v>1</v>
      </c>
      <c r="Q76" s="4" t="n">
        <v>0</v>
      </c>
      <c r="R76" s="6" t="n">
        <v>3.2</v>
      </c>
      <c r="S76" s="6" t="n">
        <v>0.64</v>
      </c>
      <c r="T76" s="4" t="n">
        <v>5</v>
      </c>
      <c r="U76" s="5" t="s">
        <v>576</v>
      </c>
      <c r="V76" s="4" t="s">
        <v>577</v>
      </c>
      <c r="W76" s="7" t="n">
        <v>96100</v>
      </c>
      <c r="X76" s="7" t="n">
        <v>308000</v>
      </c>
      <c r="Y76" s="6" t="n">
        <f aca="false">IF(OR(W76="",W76=0,X76=""),"",X76/W76)</f>
        <v>3.20499479708637</v>
      </c>
      <c r="Z76" s="4" t="n">
        <v>5</v>
      </c>
      <c r="AA76" s="4" t="s">
        <v>578</v>
      </c>
      <c r="AB76" s="8" t="s">
        <v>579</v>
      </c>
      <c r="AC76" s="9" t="s">
        <v>69</v>
      </c>
      <c r="AD76" s="10"/>
      <c r="AE76" s="4"/>
      <c r="AF76" s="11" t="n">
        <f aca="false">IF(AC76&lt;&gt;"Published",COUNTIF($AC$2:AC76,"&lt;&gt;Published"),"")</f>
        <v>75</v>
      </c>
    </row>
    <row r="77" customFormat="false" ht="26.85" hidden="false" customHeight="false" outlineLevel="0" collapsed="false">
      <c r="A77" s="4" t="n">
        <v>76</v>
      </c>
      <c r="B77" s="4" t="n">
        <f aca="false">ROUNDUP(A77/3,0)</f>
        <v>26</v>
      </c>
      <c r="C77" s="4" t="s">
        <v>392</v>
      </c>
      <c r="D77" s="4" t="s">
        <v>580</v>
      </c>
      <c r="E77" s="4" t="s">
        <v>581</v>
      </c>
      <c r="F77" s="5" t="s">
        <v>582</v>
      </c>
      <c r="G77" s="5" t="s">
        <v>583</v>
      </c>
      <c r="H77" s="4" t="s">
        <v>584</v>
      </c>
      <c r="I77" s="4" t="s">
        <v>585</v>
      </c>
      <c r="J77" s="4" t="s">
        <v>586</v>
      </c>
      <c r="K77" s="4" t="s">
        <v>215</v>
      </c>
      <c r="L77" s="4" t="s">
        <v>84</v>
      </c>
      <c r="M77" s="4" t="s">
        <v>425</v>
      </c>
      <c r="N77" s="4" t="n">
        <v>19</v>
      </c>
      <c r="O77" s="4" t="n">
        <v>3</v>
      </c>
      <c r="P77" s="4" t="n">
        <v>3</v>
      </c>
      <c r="Q77" s="4" t="n">
        <v>3</v>
      </c>
      <c r="R77" s="6" t="n">
        <v>3.61</v>
      </c>
      <c r="S77" s="6" t="n">
        <v>7.22</v>
      </c>
      <c r="T77" s="4" t="n">
        <v>0.5</v>
      </c>
      <c r="U77" s="5" t="s">
        <v>587</v>
      </c>
      <c r="V77" s="4" t="s">
        <v>588</v>
      </c>
      <c r="W77" s="7" t="n">
        <v>33800</v>
      </c>
      <c r="X77" s="7" t="n">
        <v>122000</v>
      </c>
      <c r="Y77" s="6" t="n">
        <f aca="false">IF(OR(W77="",W77=0,X77=""),"",X77/W77)</f>
        <v>3.6094674556213</v>
      </c>
      <c r="Z77" s="4" t="n">
        <v>0.5</v>
      </c>
      <c r="AA77" s="4" t="s">
        <v>589</v>
      </c>
      <c r="AB77" s="8" t="s">
        <v>590</v>
      </c>
      <c r="AC77" s="9" t="s">
        <v>69</v>
      </c>
      <c r="AD77" s="10"/>
      <c r="AE77" s="4"/>
      <c r="AF77" s="11" t="n">
        <f aca="false">IF(AC77&lt;&gt;"Published",COUNTIF($AC$2:AC77,"&lt;&gt;Published"),"")</f>
        <v>76</v>
      </c>
    </row>
    <row r="78" customFormat="false" ht="39.55" hidden="false" customHeight="false" outlineLevel="0" collapsed="false">
      <c r="A78" s="4" t="n">
        <v>77</v>
      </c>
      <c r="B78" s="4" t="n">
        <f aca="false">ROUNDUP(A78/3,0)</f>
        <v>26</v>
      </c>
      <c r="C78" s="4" t="s">
        <v>392</v>
      </c>
      <c r="D78" s="4" t="s">
        <v>591</v>
      </c>
      <c r="E78" s="4" t="s">
        <v>247</v>
      </c>
      <c r="F78" s="5" t="s">
        <v>592</v>
      </c>
      <c r="G78" s="5" t="s">
        <v>593</v>
      </c>
      <c r="H78" s="4" t="s">
        <v>59</v>
      </c>
      <c r="I78" s="4" t="s">
        <v>100</v>
      </c>
      <c r="J78" s="4" t="s">
        <v>434</v>
      </c>
      <c r="K78" s="4" t="s">
        <v>83</v>
      </c>
      <c r="L78" s="4" t="s">
        <v>84</v>
      </c>
      <c r="M78" s="4" t="s">
        <v>75</v>
      </c>
      <c r="N78" s="4" t="n">
        <v>121</v>
      </c>
      <c r="O78" s="4" t="n">
        <v>66</v>
      </c>
      <c r="P78" s="4" t="n">
        <v>17</v>
      </c>
      <c r="Q78" s="4" t="n">
        <v>3</v>
      </c>
      <c r="R78" s="6" t="n">
        <v>166.97</v>
      </c>
      <c r="S78" s="6" t="n">
        <v>33.39</v>
      </c>
      <c r="T78" s="4" t="n">
        <v>13</v>
      </c>
      <c r="U78" s="5" t="s">
        <v>594</v>
      </c>
      <c r="V78" s="4" t="s">
        <v>320</v>
      </c>
      <c r="W78" s="7" t="n">
        <v>13700</v>
      </c>
      <c r="X78" s="7" t="n">
        <v>1100000</v>
      </c>
      <c r="Y78" s="6" t="n">
        <f aca="false">IF(OR(W78="",W78=0,X78=""),"",X78/W78)</f>
        <v>80.2919708029197</v>
      </c>
      <c r="Z78" s="4" t="n">
        <v>16</v>
      </c>
      <c r="AA78" s="4" t="s">
        <v>595</v>
      </c>
      <c r="AB78" s="8" t="s">
        <v>596</v>
      </c>
      <c r="AC78" s="9" t="s">
        <v>69</v>
      </c>
      <c r="AD78" s="10"/>
      <c r="AE78" s="4"/>
      <c r="AF78" s="11" t="n">
        <f aca="false">IF(AC78&lt;&gt;"Published",COUNTIF($AC$2:AC78,"&lt;&gt;Published"),"")</f>
        <v>77</v>
      </c>
    </row>
    <row r="79" customFormat="false" ht="39.55" hidden="false" customHeight="false" outlineLevel="0" collapsed="false">
      <c r="A79" s="4" t="n">
        <v>78</v>
      </c>
      <c r="B79" s="4" t="n">
        <f aca="false">ROUNDUP(A79/3,0)</f>
        <v>26</v>
      </c>
      <c r="C79" s="4" t="s">
        <v>392</v>
      </c>
      <c r="D79" s="4" t="s">
        <v>597</v>
      </c>
      <c r="E79" s="4" t="s">
        <v>431</v>
      </c>
      <c r="F79" s="5" t="s">
        <v>598</v>
      </c>
      <c r="G79" s="5" t="s">
        <v>599</v>
      </c>
      <c r="H79" s="4" t="s">
        <v>74</v>
      </c>
      <c r="I79" s="4" t="s">
        <v>60</v>
      </c>
      <c r="J79" s="4" t="s">
        <v>527</v>
      </c>
      <c r="K79" s="4" t="s">
        <v>83</v>
      </c>
      <c r="L79" s="4" t="s">
        <v>63</v>
      </c>
      <c r="M79" s="4" t="s">
        <v>75</v>
      </c>
      <c r="N79" s="4" t="n">
        <v>22</v>
      </c>
      <c r="O79" s="4" t="n">
        <v>13</v>
      </c>
      <c r="P79" s="4" t="n">
        <v>2</v>
      </c>
      <c r="Q79" s="4" t="n">
        <v>0</v>
      </c>
      <c r="R79" s="6" t="n">
        <v>2.06</v>
      </c>
      <c r="S79" s="6" t="n">
        <v>0.29</v>
      </c>
      <c r="T79" s="4" t="n">
        <v>9.5</v>
      </c>
      <c r="U79" s="5" t="s">
        <v>600</v>
      </c>
      <c r="V79" s="4" t="s">
        <v>601</v>
      </c>
      <c r="W79" s="7" t="n">
        <v>42200</v>
      </c>
      <c r="X79" s="7" t="n">
        <v>87000</v>
      </c>
      <c r="Y79" s="6" t="n">
        <f aca="false">IF(OR(W79="",W79=0,X79=""),"",X79/W79)</f>
        <v>2.06161137440758</v>
      </c>
      <c r="Z79" s="4" t="n">
        <v>7</v>
      </c>
      <c r="AA79" s="4" t="s">
        <v>602</v>
      </c>
      <c r="AB79" s="8" t="s">
        <v>603</v>
      </c>
      <c r="AC79" s="9" t="s">
        <v>69</v>
      </c>
      <c r="AD79" s="10"/>
      <c r="AE79" s="4"/>
      <c r="AF79" s="11" t="n">
        <f aca="false">IF(AC79&lt;&gt;"Published",COUNTIF($AC$2:AC79,"&lt;&gt;Published"),"")</f>
        <v>78</v>
      </c>
    </row>
    <row r="80" customFormat="false" ht="26.85" hidden="false" customHeight="false" outlineLevel="0" collapsed="false">
      <c r="A80" s="4" t="n">
        <v>79</v>
      </c>
      <c r="B80" s="4" t="n">
        <f aca="false">ROUNDUP(A80/3,0)</f>
        <v>27</v>
      </c>
      <c r="C80" s="4" t="s">
        <v>392</v>
      </c>
      <c r="D80" s="4" t="s">
        <v>604</v>
      </c>
      <c r="E80" s="4" t="s">
        <v>440</v>
      </c>
      <c r="F80" s="5" t="s">
        <v>605</v>
      </c>
      <c r="G80" s="5" t="s">
        <v>606</v>
      </c>
      <c r="H80" s="4" t="s">
        <v>59</v>
      </c>
      <c r="I80" s="4" t="s">
        <v>377</v>
      </c>
      <c r="J80" s="4" t="s">
        <v>434</v>
      </c>
      <c r="K80" s="4" t="s">
        <v>62</v>
      </c>
      <c r="L80" s="4" t="s">
        <v>84</v>
      </c>
      <c r="M80" s="4" t="s">
        <v>64</v>
      </c>
      <c r="N80" s="4" t="n">
        <v>151</v>
      </c>
      <c r="O80" s="4" t="n">
        <v>61</v>
      </c>
      <c r="P80" s="4" t="n">
        <v>16</v>
      </c>
      <c r="Q80" s="4" t="n">
        <v>6</v>
      </c>
      <c r="R80" s="6" t="n">
        <v>15.64</v>
      </c>
      <c r="S80" s="6" t="n">
        <v>3.91</v>
      </c>
      <c r="T80" s="4" t="n">
        <v>6</v>
      </c>
      <c r="U80" s="5" t="s">
        <v>607</v>
      </c>
      <c r="V80" s="4" t="s">
        <v>389</v>
      </c>
      <c r="W80" s="7" t="n">
        <v>42300</v>
      </c>
      <c r="X80" s="7" t="n">
        <v>363000</v>
      </c>
      <c r="Y80" s="6" t="n">
        <f aca="false">IF(OR(W80="",W80=0,X80=""),"",X80/W80)</f>
        <v>8.58156028368794</v>
      </c>
      <c r="Z80" s="4" t="n">
        <v>6</v>
      </c>
      <c r="AA80" s="4" t="s">
        <v>279</v>
      </c>
      <c r="AB80" s="8" t="s">
        <v>608</v>
      </c>
      <c r="AC80" s="9" t="s">
        <v>69</v>
      </c>
      <c r="AD80" s="10"/>
      <c r="AE80" s="4"/>
      <c r="AF80" s="11" t="n">
        <f aca="false">IF(AC80&lt;&gt;"Published",COUNTIF($AC$2:AC80,"&lt;&gt;Published"),"")</f>
        <v>79</v>
      </c>
    </row>
    <row r="81" customFormat="false" ht="26.85" hidden="false" customHeight="false" outlineLevel="0" collapsed="false">
      <c r="A81" s="4" t="n">
        <v>80</v>
      </c>
      <c r="B81" s="4" t="n">
        <f aca="false">ROUNDUP(A81/3,0)</f>
        <v>27</v>
      </c>
      <c r="C81" s="4" t="s">
        <v>392</v>
      </c>
      <c r="D81" s="4" t="s">
        <v>609</v>
      </c>
      <c r="E81" s="4" t="s">
        <v>447</v>
      </c>
      <c r="F81" s="5" t="s">
        <v>610</v>
      </c>
      <c r="G81" s="5" t="s">
        <v>611</v>
      </c>
      <c r="H81" s="4" t="s">
        <v>74</v>
      </c>
      <c r="I81" s="4" t="s">
        <v>377</v>
      </c>
      <c r="J81" s="4" t="s">
        <v>540</v>
      </c>
      <c r="K81" s="4" t="s">
        <v>215</v>
      </c>
      <c r="L81" s="4" t="s">
        <v>84</v>
      </c>
      <c r="M81" s="4" t="s">
        <v>75</v>
      </c>
      <c r="N81" s="4" t="n">
        <v>22</v>
      </c>
      <c r="O81" s="4" t="n">
        <v>10</v>
      </c>
      <c r="P81" s="4" t="n">
        <v>2</v>
      </c>
      <c r="Q81" s="4" t="n">
        <v>1</v>
      </c>
      <c r="R81" s="6" t="n">
        <v>54.09</v>
      </c>
      <c r="S81" s="6" t="n">
        <v>4.51</v>
      </c>
      <c r="T81" s="4" t="n">
        <v>9.5</v>
      </c>
      <c r="U81" s="5" t="s">
        <v>612</v>
      </c>
      <c r="V81" s="4" t="s">
        <v>492</v>
      </c>
      <c r="W81" s="7" t="n">
        <v>5010</v>
      </c>
      <c r="X81" s="7" t="n">
        <v>271000</v>
      </c>
      <c r="Y81" s="6" t="n">
        <f aca="false">IF(OR(W81="",W81=0,X81=""),"",X81/W81)</f>
        <v>54.0918163672655</v>
      </c>
      <c r="Z81" s="4" t="n">
        <v>12</v>
      </c>
      <c r="AA81" s="4" t="s">
        <v>613</v>
      </c>
      <c r="AB81" s="8" t="s">
        <v>614</v>
      </c>
      <c r="AC81" s="9" t="s">
        <v>69</v>
      </c>
      <c r="AD81" s="10"/>
      <c r="AE81" s="4"/>
      <c r="AF81" s="11" t="n">
        <f aca="false">IF(AC81&lt;&gt;"Published",COUNTIF($AC$2:AC81,"&lt;&gt;Published"),"")</f>
        <v>80</v>
      </c>
    </row>
    <row r="82" customFormat="false" ht="26.85" hidden="false" customHeight="false" outlineLevel="0" collapsed="false">
      <c r="A82" s="4" t="n">
        <v>81</v>
      </c>
      <c r="B82" s="4" t="n">
        <f aca="false">ROUNDUP(A82/3,0)</f>
        <v>27</v>
      </c>
      <c r="C82" s="4" t="s">
        <v>392</v>
      </c>
      <c r="D82" s="4" t="s">
        <v>615</v>
      </c>
      <c r="E82" s="4" t="s">
        <v>56</v>
      </c>
      <c r="F82" s="5" t="s">
        <v>616</v>
      </c>
      <c r="G82" s="5" t="s">
        <v>617</v>
      </c>
      <c r="H82" s="4" t="s">
        <v>74</v>
      </c>
      <c r="I82" s="4" t="s">
        <v>60</v>
      </c>
      <c r="J82" s="4" t="s">
        <v>502</v>
      </c>
      <c r="K82" s="4" t="s">
        <v>62</v>
      </c>
      <c r="L82" s="4" t="s">
        <v>63</v>
      </c>
      <c r="M82" s="4" t="s">
        <v>75</v>
      </c>
      <c r="N82" s="4" t="n">
        <v>34</v>
      </c>
      <c r="O82" s="4" t="n">
        <v>17</v>
      </c>
      <c r="P82" s="4" t="n">
        <v>6</v>
      </c>
      <c r="Q82" s="4" t="n">
        <v>1</v>
      </c>
      <c r="R82" s="6" t="n">
        <v>15.3</v>
      </c>
      <c r="S82" s="6" t="n">
        <v>1.39</v>
      </c>
      <c r="T82" s="4" t="n">
        <v>13</v>
      </c>
      <c r="U82" s="5" t="s">
        <v>618</v>
      </c>
      <c r="V82" s="4" t="s">
        <v>364</v>
      </c>
      <c r="W82" s="7" t="n">
        <v>13200</v>
      </c>
      <c r="X82" s="7" t="n">
        <v>202000</v>
      </c>
      <c r="Y82" s="6" t="n">
        <f aca="false">IF(OR(W82="",W82=0,X82=""),"",X82/W82)</f>
        <v>15.3030303030303</v>
      </c>
      <c r="Z82" s="4" t="n">
        <v>11</v>
      </c>
      <c r="AA82" s="4" t="s">
        <v>619</v>
      </c>
      <c r="AB82" s="8" t="s">
        <v>620</v>
      </c>
      <c r="AC82" s="9" t="s">
        <v>69</v>
      </c>
      <c r="AD82" s="10"/>
      <c r="AE82" s="4"/>
      <c r="AF82" s="11" t="n">
        <f aca="false">IF(AC82&lt;&gt;"Published",COUNTIF($AC$2:AC82,"&lt;&gt;Published"),"")</f>
        <v>81</v>
      </c>
    </row>
    <row r="83" customFormat="false" ht="26.85" hidden="false" customHeight="false" outlineLevel="0" collapsed="false">
      <c r="A83" s="4" t="n">
        <v>82</v>
      </c>
      <c r="B83" s="4" t="n">
        <f aca="false">ROUNDUP(A83/3,0)</f>
        <v>28</v>
      </c>
      <c r="C83" s="4" t="s">
        <v>621</v>
      </c>
      <c r="D83" s="4" t="s">
        <v>622</v>
      </c>
      <c r="E83" s="4" t="s">
        <v>56</v>
      </c>
      <c r="F83" s="5" t="s">
        <v>623</v>
      </c>
      <c r="G83" s="5" t="s">
        <v>624</v>
      </c>
      <c r="H83" s="4" t="s">
        <v>74</v>
      </c>
      <c r="I83" s="4" t="s">
        <v>92</v>
      </c>
      <c r="J83" s="4" t="s">
        <v>625</v>
      </c>
      <c r="K83" s="4" t="s">
        <v>62</v>
      </c>
      <c r="L83" s="4" t="s">
        <v>84</v>
      </c>
      <c r="M83" s="4" t="s">
        <v>75</v>
      </c>
      <c r="N83" s="4" t="n">
        <v>204</v>
      </c>
      <c r="O83" s="4" t="n">
        <v>80</v>
      </c>
      <c r="P83" s="4" t="n">
        <v>15</v>
      </c>
      <c r="Q83" s="4" t="n">
        <v>4</v>
      </c>
      <c r="R83" s="6" t="n">
        <v>22.61</v>
      </c>
      <c r="S83" s="6" t="n">
        <v>5.65</v>
      </c>
      <c r="T83" s="4" t="n">
        <v>10</v>
      </c>
      <c r="U83" s="5" t="s">
        <v>626</v>
      </c>
      <c r="V83" s="4" t="s">
        <v>129</v>
      </c>
      <c r="W83" s="7" t="n">
        <v>79600</v>
      </c>
      <c r="X83" s="7" t="n">
        <v>1800000</v>
      </c>
      <c r="Y83" s="6" t="n">
        <f aca="false">IF(OR(W83="",W83=0,X83=""),"",X83/W83)</f>
        <v>22.6130653266332</v>
      </c>
      <c r="Z83" s="4" t="n">
        <v>4</v>
      </c>
      <c r="AA83" s="4" t="s">
        <v>627</v>
      </c>
      <c r="AB83" s="8" t="s">
        <v>628</v>
      </c>
      <c r="AC83" s="9" t="s">
        <v>69</v>
      </c>
      <c r="AD83" s="10"/>
      <c r="AE83" s="4"/>
      <c r="AF83" s="11" t="n">
        <f aca="false">IF(AC83&lt;&gt;"Published",COUNTIF($AC$2:AC83,"&lt;&gt;Published"),"")</f>
        <v>82</v>
      </c>
    </row>
    <row r="84" customFormat="false" ht="26.85" hidden="false" customHeight="false" outlineLevel="0" collapsed="false">
      <c r="A84" s="4" t="n">
        <v>83</v>
      </c>
      <c r="B84" s="4" t="n">
        <f aca="false">ROUNDUP(A84/3,0)</f>
        <v>28</v>
      </c>
      <c r="C84" s="4" t="s">
        <v>621</v>
      </c>
      <c r="D84" s="4" t="s">
        <v>629</v>
      </c>
      <c r="E84" s="4" t="s">
        <v>247</v>
      </c>
      <c r="F84" s="5" t="s">
        <v>630</v>
      </c>
      <c r="G84" s="5" t="s">
        <v>631</v>
      </c>
      <c r="H84" s="4" t="s">
        <v>59</v>
      </c>
      <c r="I84" s="4" t="s">
        <v>632</v>
      </c>
      <c r="J84" s="4" t="s">
        <v>591</v>
      </c>
      <c r="K84" s="4" t="s">
        <v>221</v>
      </c>
      <c r="L84" s="4" t="s">
        <v>84</v>
      </c>
      <c r="M84" s="4" t="s">
        <v>75</v>
      </c>
      <c r="N84" s="4" t="n">
        <v>10</v>
      </c>
      <c r="O84" s="4" t="n">
        <v>9</v>
      </c>
      <c r="P84" s="4" t="n">
        <v>2</v>
      </c>
      <c r="Q84" s="4" t="n">
        <v>1</v>
      </c>
      <c r="R84" s="6" t="n">
        <v>13.76</v>
      </c>
      <c r="S84" s="6" t="n">
        <v>4.59</v>
      </c>
      <c r="T84" s="4" t="n">
        <v>8</v>
      </c>
      <c r="U84" s="5" t="s">
        <v>633</v>
      </c>
      <c r="V84" s="4" t="s">
        <v>237</v>
      </c>
      <c r="W84" s="7" t="n">
        <v>1090</v>
      </c>
      <c r="X84" s="7" t="n">
        <v>15000</v>
      </c>
      <c r="Y84" s="6" t="n">
        <f aca="false">IF(OR(W84="",W84=0,X84=""),"",X84/W84)</f>
        <v>13.7614678899083</v>
      </c>
      <c r="Z84" s="4" t="n">
        <v>3</v>
      </c>
      <c r="AA84" s="4" t="s">
        <v>634</v>
      </c>
      <c r="AB84" s="8" t="s">
        <v>635</v>
      </c>
      <c r="AC84" s="9" t="s">
        <v>69</v>
      </c>
      <c r="AD84" s="10"/>
      <c r="AE84" s="4"/>
      <c r="AF84" s="11" t="n">
        <f aca="false">IF(AC84&lt;&gt;"Published",COUNTIF($AC$2:AC84,"&lt;&gt;Published"),"")</f>
        <v>83</v>
      </c>
    </row>
    <row r="85" customFormat="false" ht="26.85" hidden="false" customHeight="false" outlineLevel="0" collapsed="false">
      <c r="A85" s="4" t="n">
        <v>84</v>
      </c>
      <c r="B85" s="4" t="n">
        <f aca="false">ROUNDUP(A85/3,0)</f>
        <v>28</v>
      </c>
      <c r="C85" s="4" t="s">
        <v>621</v>
      </c>
      <c r="D85" s="4" t="s">
        <v>636</v>
      </c>
      <c r="E85" s="4" t="s">
        <v>431</v>
      </c>
      <c r="F85" s="5" t="s">
        <v>637</v>
      </c>
      <c r="G85" s="5" t="s">
        <v>638</v>
      </c>
      <c r="H85" s="4" t="s">
        <v>74</v>
      </c>
      <c r="I85" s="4" t="s">
        <v>60</v>
      </c>
      <c r="J85" s="4" t="s">
        <v>591</v>
      </c>
      <c r="K85" s="4" t="s">
        <v>62</v>
      </c>
      <c r="L85" s="4" t="s">
        <v>84</v>
      </c>
      <c r="M85" s="4" t="s">
        <v>75</v>
      </c>
      <c r="N85" s="4" t="n">
        <v>64</v>
      </c>
      <c r="O85" s="4" t="n">
        <v>39</v>
      </c>
      <c r="P85" s="4" t="n">
        <v>4</v>
      </c>
      <c r="Q85" s="4" t="n">
        <v>1</v>
      </c>
      <c r="R85" s="6" t="n">
        <v>14.89</v>
      </c>
      <c r="S85" s="6" t="n">
        <v>2.98</v>
      </c>
      <c r="T85" s="4" t="n">
        <v>8</v>
      </c>
      <c r="U85" s="5" t="s">
        <v>639</v>
      </c>
      <c r="V85" s="4" t="s">
        <v>265</v>
      </c>
      <c r="W85" s="7" t="n">
        <v>4970</v>
      </c>
      <c r="X85" s="7" t="n">
        <v>74000</v>
      </c>
      <c r="Y85" s="6" t="n">
        <f aca="false">IF(OR(W85="",W85=0,X85=""),"",X85/W85)</f>
        <v>14.8893360160966</v>
      </c>
      <c r="Z85" s="4" t="n">
        <v>5</v>
      </c>
      <c r="AA85" s="4" t="s">
        <v>640</v>
      </c>
      <c r="AB85" s="8" t="s">
        <v>641</v>
      </c>
      <c r="AC85" s="9" t="s">
        <v>69</v>
      </c>
      <c r="AD85" s="10"/>
      <c r="AE85" s="4"/>
      <c r="AF85" s="11" t="n">
        <f aca="false">IF(AC85&lt;&gt;"Published",COUNTIF($AC$2:AC85,"&lt;&gt;Published"),"")</f>
        <v>84</v>
      </c>
    </row>
    <row r="86" customFormat="false" ht="26.85" hidden="false" customHeight="false" outlineLevel="0" collapsed="false">
      <c r="A86" s="4" t="n">
        <v>85</v>
      </c>
      <c r="B86" s="4" t="n">
        <f aca="false">ROUNDUP(A86/3,0)</f>
        <v>29</v>
      </c>
      <c r="C86" s="4" t="s">
        <v>621</v>
      </c>
      <c r="D86" s="4" t="s">
        <v>642</v>
      </c>
      <c r="E86" s="4" t="s">
        <v>440</v>
      </c>
      <c r="F86" s="5" t="s">
        <v>643</v>
      </c>
      <c r="G86" s="5" t="s">
        <v>644</v>
      </c>
      <c r="H86" s="4" t="s">
        <v>74</v>
      </c>
      <c r="I86" s="4" t="s">
        <v>92</v>
      </c>
      <c r="J86" s="4" t="s">
        <v>645</v>
      </c>
      <c r="K86" s="4" t="s">
        <v>221</v>
      </c>
      <c r="L86" s="4" t="s">
        <v>84</v>
      </c>
      <c r="M86" s="4" t="s">
        <v>64</v>
      </c>
      <c r="N86" s="4" t="n">
        <v>124</v>
      </c>
      <c r="O86" s="4" t="n">
        <v>46</v>
      </c>
      <c r="P86" s="4" t="n">
        <v>9</v>
      </c>
      <c r="Q86" s="4" t="n">
        <v>4</v>
      </c>
      <c r="R86" s="6" t="n">
        <v>16.5</v>
      </c>
      <c r="S86" s="6" t="n">
        <v>2.75</v>
      </c>
      <c r="T86" s="4" t="n">
        <v>5</v>
      </c>
      <c r="U86" s="5" t="s">
        <v>646</v>
      </c>
      <c r="V86" s="4" t="s">
        <v>265</v>
      </c>
      <c r="W86" s="7" t="n">
        <v>4970</v>
      </c>
      <c r="X86" s="7" t="n">
        <v>82000</v>
      </c>
      <c r="Y86" s="6" t="n">
        <f aca="false">IF(OR(W86="",W86=0,X86=""),"",X86/W86)</f>
        <v>16.4989939637827</v>
      </c>
      <c r="Z86" s="4" t="n">
        <v>6</v>
      </c>
      <c r="AA86" s="4" t="s">
        <v>647</v>
      </c>
      <c r="AB86" s="8" t="s">
        <v>648</v>
      </c>
      <c r="AC86" s="9" t="s">
        <v>69</v>
      </c>
      <c r="AD86" s="10"/>
      <c r="AE86" s="4"/>
      <c r="AF86" s="11" t="n">
        <f aca="false">IF(AC86&lt;&gt;"Published",COUNTIF($AC$2:AC86,"&lt;&gt;Published"),"")</f>
        <v>85</v>
      </c>
    </row>
    <row r="87" customFormat="false" ht="26.85" hidden="false" customHeight="false" outlineLevel="0" collapsed="false">
      <c r="A87" s="4" t="n">
        <v>86</v>
      </c>
      <c r="B87" s="4" t="n">
        <f aca="false">ROUNDUP(A87/3,0)</f>
        <v>29</v>
      </c>
      <c r="C87" s="4" t="s">
        <v>621</v>
      </c>
      <c r="D87" s="4" t="s">
        <v>649</v>
      </c>
      <c r="E87" s="4" t="s">
        <v>447</v>
      </c>
      <c r="F87" s="5" t="s">
        <v>650</v>
      </c>
      <c r="G87" s="5" t="s">
        <v>651</v>
      </c>
      <c r="H87" s="4" t="s">
        <v>74</v>
      </c>
      <c r="I87" s="4" t="s">
        <v>377</v>
      </c>
      <c r="J87" s="4" t="s">
        <v>609</v>
      </c>
      <c r="K87" s="4" t="s">
        <v>215</v>
      </c>
      <c r="L87" s="4" t="s">
        <v>63</v>
      </c>
      <c r="M87" s="4" t="s">
        <v>75</v>
      </c>
      <c r="N87" s="4" t="n">
        <v>14</v>
      </c>
      <c r="O87" s="4" t="n">
        <v>10</v>
      </c>
      <c r="P87" s="4" t="n">
        <v>2</v>
      </c>
      <c r="Q87" s="4" t="n">
        <v>1</v>
      </c>
      <c r="R87" s="6" t="n">
        <v>13.77</v>
      </c>
      <c r="S87" s="6" t="n">
        <v>1.15</v>
      </c>
      <c r="T87" s="4" t="n">
        <v>9.5</v>
      </c>
      <c r="U87" s="5" t="s">
        <v>652</v>
      </c>
      <c r="V87" s="4" t="s">
        <v>492</v>
      </c>
      <c r="W87" s="7" t="n">
        <v>5010</v>
      </c>
      <c r="X87" s="7" t="n">
        <v>69000</v>
      </c>
      <c r="Y87" s="6" t="n">
        <f aca="false">IF(OR(W87="",W87=0,X87=""),"",X87/W87)</f>
        <v>13.7724550898204</v>
      </c>
      <c r="Z87" s="4" t="n">
        <v>12</v>
      </c>
      <c r="AA87" s="4" t="s">
        <v>171</v>
      </c>
      <c r="AB87" s="8" t="s">
        <v>653</v>
      </c>
      <c r="AC87" s="9" t="s">
        <v>69</v>
      </c>
      <c r="AD87" s="10"/>
      <c r="AE87" s="4"/>
      <c r="AF87" s="11" t="n">
        <f aca="false">IF(AC87&lt;&gt;"Published",COUNTIF($AC$2:AC87,"&lt;&gt;Published"),"")</f>
        <v>86</v>
      </c>
    </row>
    <row r="88" customFormat="false" ht="26.85" hidden="false" customHeight="false" outlineLevel="0" collapsed="false">
      <c r="A88" s="4" t="n">
        <v>87</v>
      </c>
      <c r="B88" s="4" t="n">
        <f aca="false">ROUNDUP(A88/3,0)</f>
        <v>29</v>
      </c>
      <c r="C88" s="4" t="s">
        <v>621</v>
      </c>
      <c r="D88" s="4" t="s">
        <v>654</v>
      </c>
      <c r="E88" s="4" t="s">
        <v>56</v>
      </c>
      <c r="F88" s="5" t="s">
        <v>655</v>
      </c>
      <c r="G88" s="5" t="s">
        <v>656</v>
      </c>
      <c r="H88" s="4" t="s">
        <v>74</v>
      </c>
      <c r="I88" s="4" t="s">
        <v>92</v>
      </c>
      <c r="J88" s="4" t="s">
        <v>657</v>
      </c>
      <c r="K88" s="4" t="s">
        <v>62</v>
      </c>
      <c r="L88" s="4" t="s">
        <v>84</v>
      </c>
      <c r="M88" s="4" t="s">
        <v>64</v>
      </c>
      <c r="N88" s="4" t="n">
        <v>40</v>
      </c>
      <c r="O88" s="4" t="n">
        <v>26</v>
      </c>
      <c r="P88" s="4" t="n">
        <v>5</v>
      </c>
      <c r="Q88" s="4" t="n">
        <v>2</v>
      </c>
      <c r="R88" s="6" t="n">
        <v>17.82</v>
      </c>
      <c r="S88" s="6" t="n">
        <v>3.56</v>
      </c>
      <c r="T88" s="4" t="n">
        <v>6</v>
      </c>
      <c r="U88" s="5" t="s">
        <v>658</v>
      </c>
      <c r="V88" s="4" t="s">
        <v>340</v>
      </c>
      <c r="W88" s="7" t="n">
        <v>94100</v>
      </c>
      <c r="X88" s="7" t="n">
        <v>524000</v>
      </c>
      <c r="Y88" s="6" t="n">
        <f aca="false">IF(OR(W88="",W88=0,X88=""),"",X88/W88)</f>
        <v>5.56854410201913</v>
      </c>
      <c r="Z88" s="4" t="n">
        <v>6</v>
      </c>
      <c r="AA88" s="4" t="s">
        <v>659</v>
      </c>
      <c r="AB88" s="8" t="s">
        <v>660</v>
      </c>
      <c r="AC88" s="9" t="s">
        <v>69</v>
      </c>
      <c r="AD88" s="10"/>
      <c r="AE88" s="4"/>
      <c r="AF88" s="11" t="n">
        <f aca="false">IF(AC88&lt;&gt;"Published",COUNTIF($AC$2:AC88,"&lt;&gt;Published"),"")</f>
        <v>87</v>
      </c>
    </row>
    <row r="89" customFormat="false" ht="26.85" hidden="false" customHeight="false" outlineLevel="0" collapsed="false">
      <c r="A89" s="4" t="n">
        <v>88</v>
      </c>
      <c r="B89" s="4" t="n">
        <f aca="false">ROUNDUP(A89/3,0)</f>
        <v>30</v>
      </c>
      <c r="C89" s="4" t="s">
        <v>621</v>
      </c>
      <c r="D89" s="4" t="s">
        <v>661</v>
      </c>
      <c r="E89" s="4" t="s">
        <v>581</v>
      </c>
      <c r="F89" s="5" t="s">
        <v>662</v>
      </c>
      <c r="G89" s="5" t="s">
        <v>663</v>
      </c>
      <c r="H89" s="4" t="s">
        <v>422</v>
      </c>
      <c r="I89" s="4" t="s">
        <v>566</v>
      </c>
      <c r="J89" s="4" t="s">
        <v>664</v>
      </c>
      <c r="K89" s="4" t="s">
        <v>62</v>
      </c>
      <c r="L89" s="4" t="s">
        <v>84</v>
      </c>
      <c r="M89" s="4" t="s">
        <v>64</v>
      </c>
      <c r="N89" s="4" t="n">
        <v>64</v>
      </c>
      <c r="O89" s="4" t="n">
        <v>20</v>
      </c>
      <c r="P89" s="4" t="n">
        <v>20</v>
      </c>
      <c r="Q89" s="4" t="n">
        <v>7</v>
      </c>
      <c r="R89" s="6" t="n">
        <v>122.41</v>
      </c>
      <c r="S89" s="6" t="n">
        <v>122.41</v>
      </c>
      <c r="T89" s="4" t="n">
        <v>4</v>
      </c>
      <c r="U89" s="5" t="s">
        <v>665</v>
      </c>
      <c r="V89" s="4" t="s">
        <v>666</v>
      </c>
      <c r="W89" s="7" t="n">
        <v>1740</v>
      </c>
      <c r="X89" s="7" t="n">
        <v>213000</v>
      </c>
      <c r="Y89" s="6" t="n">
        <f aca="false">IF(OR(W89="",W89=0,X89=""),"",X89/W89)</f>
        <v>122.413793103448</v>
      </c>
      <c r="Z89" s="4" t="n">
        <v>1</v>
      </c>
      <c r="AA89" s="4" t="s">
        <v>667</v>
      </c>
      <c r="AB89" s="8" t="s">
        <v>668</v>
      </c>
      <c r="AC89" s="9" t="s">
        <v>69</v>
      </c>
      <c r="AD89" s="10"/>
      <c r="AE89" s="4"/>
      <c r="AF89" s="11" t="n">
        <f aca="false">IF(AC89&lt;&gt;"Published",COUNTIF($AC$2:AC89,"&lt;&gt;Published"),"")</f>
        <v>88</v>
      </c>
    </row>
    <row r="90" customFormat="false" ht="26.85" hidden="false" customHeight="false" outlineLevel="0" collapsed="false">
      <c r="A90" s="4" t="n">
        <v>89</v>
      </c>
      <c r="B90" s="4" t="n">
        <f aca="false">ROUNDUP(A90/3,0)</f>
        <v>30</v>
      </c>
      <c r="C90" s="4" t="s">
        <v>621</v>
      </c>
      <c r="D90" s="4" t="s">
        <v>669</v>
      </c>
      <c r="E90" s="4" t="s">
        <v>247</v>
      </c>
      <c r="F90" s="5" t="s">
        <v>670</v>
      </c>
      <c r="G90" s="5" t="s">
        <v>671</v>
      </c>
      <c r="H90" s="4" t="s">
        <v>74</v>
      </c>
      <c r="I90" s="4" t="s">
        <v>100</v>
      </c>
      <c r="J90" s="4" t="s">
        <v>434</v>
      </c>
      <c r="K90" s="4" t="s">
        <v>62</v>
      </c>
      <c r="L90" s="4" t="s">
        <v>84</v>
      </c>
      <c r="M90" s="4" t="s">
        <v>75</v>
      </c>
      <c r="N90" s="4" t="n">
        <v>63</v>
      </c>
      <c r="O90" s="4" t="n">
        <v>40</v>
      </c>
      <c r="P90" s="4" t="n">
        <v>5</v>
      </c>
      <c r="Q90" s="4" t="n">
        <v>3</v>
      </c>
      <c r="R90" s="6" t="n">
        <v>342.11</v>
      </c>
      <c r="S90" s="6" t="n">
        <v>31.1</v>
      </c>
      <c r="T90" s="4" t="n">
        <v>10</v>
      </c>
      <c r="U90" s="5" t="s">
        <v>672</v>
      </c>
      <c r="V90" s="4" t="s">
        <v>673</v>
      </c>
      <c r="W90" s="7" t="n">
        <v>342</v>
      </c>
      <c r="X90" s="7" t="n">
        <v>117000</v>
      </c>
      <c r="Y90" s="6" t="n">
        <f aca="false">IF(OR(W90="",W90=0,X90=""),"",X90/W90)</f>
        <v>342.105263157895</v>
      </c>
      <c r="Z90" s="4" t="n">
        <v>11</v>
      </c>
      <c r="AA90" s="4" t="s">
        <v>674</v>
      </c>
      <c r="AB90" s="8" t="s">
        <v>675</v>
      </c>
      <c r="AC90" s="9" t="s">
        <v>69</v>
      </c>
      <c r="AD90" s="10"/>
      <c r="AE90" s="4"/>
      <c r="AF90" s="11" t="n">
        <f aca="false">IF(AC90&lt;&gt;"Published",COUNTIF($AC$2:AC90,"&lt;&gt;Published"),"")</f>
        <v>89</v>
      </c>
    </row>
    <row r="91" customFormat="false" ht="26.85" hidden="false" customHeight="false" outlineLevel="0" collapsed="false">
      <c r="A91" s="4" t="n">
        <v>90</v>
      </c>
      <c r="B91" s="4" t="n">
        <f aca="false">ROUNDUP(A91/3,0)</f>
        <v>30</v>
      </c>
      <c r="C91" s="4" t="s">
        <v>621</v>
      </c>
      <c r="D91" s="4" t="s">
        <v>676</v>
      </c>
      <c r="E91" s="4" t="s">
        <v>581</v>
      </c>
      <c r="F91" s="5" t="s">
        <v>677</v>
      </c>
      <c r="G91" s="5" t="s">
        <v>678</v>
      </c>
      <c r="H91" s="4" t="s">
        <v>422</v>
      </c>
      <c r="I91" s="4" t="s">
        <v>423</v>
      </c>
      <c r="J91" s="4" t="s">
        <v>679</v>
      </c>
      <c r="K91" s="4" t="s">
        <v>62</v>
      </c>
      <c r="L91" s="4" t="s">
        <v>63</v>
      </c>
      <c r="M91" s="4" t="s">
        <v>64</v>
      </c>
      <c r="N91" s="4" t="n">
        <v>6</v>
      </c>
      <c r="O91" s="4" t="n">
        <v>2</v>
      </c>
      <c r="P91" s="4" t="n">
        <v>1</v>
      </c>
      <c r="Q91" s="4" t="n">
        <v>0</v>
      </c>
      <c r="R91" s="6" t="n">
        <v>1.99</v>
      </c>
      <c r="S91" s="6" t="n">
        <v>0.62</v>
      </c>
      <c r="T91" s="4" t="n">
        <v>5</v>
      </c>
      <c r="U91" s="5" t="s">
        <v>680</v>
      </c>
      <c r="V91" s="4" t="s">
        <v>577</v>
      </c>
      <c r="W91" s="7" t="n">
        <v>96100</v>
      </c>
      <c r="X91" s="7" t="n">
        <v>191000</v>
      </c>
      <c r="Y91" s="6" t="n">
        <f aca="false">IF(OR(W91="",W91=0,X91=""),"",X91/W91)</f>
        <v>1.98751300728408</v>
      </c>
      <c r="Z91" s="4" t="n">
        <v>5</v>
      </c>
      <c r="AA91" s="4" t="s">
        <v>681</v>
      </c>
      <c r="AB91" s="8" t="s">
        <v>682</v>
      </c>
      <c r="AC91" s="9" t="s">
        <v>69</v>
      </c>
      <c r="AD91" s="10"/>
      <c r="AE91" s="4"/>
      <c r="AF91" s="11" t="n">
        <f aca="false">IF(AC91&lt;&gt;"Published",COUNTIF($AC$2:AC91,"&lt;&gt;Published"),"")</f>
        <v>90</v>
      </c>
    </row>
    <row r="92" customFormat="false" ht="26.85" hidden="false" customHeight="false" outlineLevel="0" collapsed="false">
      <c r="A92" s="4" t="n">
        <v>91</v>
      </c>
      <c r="B92" s="4" t="n">
        <f aca="false">ROUNDUP(A92/3,0)</f>
        <v>31</v>
      </c>
      <c r="C92" s="4" t="s">
        <v>621</v>
      </c>
      <c r="D92" s="4" t="s">
        <v>683</v>
      </c>
      <c r="E92" s="4" t="s">
        <v>581</v>
      </c>
      <c r="F92" s="5" t="s">
        <v>582</v>
      </c>
      <c r="G92" s="5" t="s">
        <v>684</v>
      </c>
      <c r="H92" s="4" t="s">
        <v>584</v>
      </c>
      <c r="I92" s="4" t="s">
        <v>585</v>
      </c>
      <c r="J92" s="4" t="s">
        <v>685</v>
      </c>
      <c r="K92" s="4" t="s">
        <v>215</v>
      </c>
      <c r="L92" s="4" t="s">
        <v>84</v>
      </c>
      <c r="M92" s="4" t="s">
        <v>425</v>
      </c>
      <c r="N92" s="4" t="n">
        <v>98</v>
      </c>
      <c r="O92" s="4" t="n">
        <v>7</v>
      </c>
      <c r="P92" s="4" t="n">
        <v>12</v>
      </c>
      <c r="Q92" s="4" t="n">
        <v>9</v>
      </c>
      <c r="R92" s="6" t="n">
        <v>17.83</v>
      </c>
      <c r="S92" s="6" t="n">
        <v>17.83</v>
      </c>
      <c r="T92" s="4" t="n">
        <v>1</v>
      </c>
      <c r="U92" s="5" t="s">
        <v>686</v>
      </c>
      <c r="V92" s="4" t="s">
        <v>687</v>
      </c>
      <c r="W92" s="7" t="n">
        <v>12000</v>
      </c>
      <c r="X92" s="7" t="n">
        <v>214000</v>
      </c>
      <c r="Y92" s="6" t="n">
        <f aca="false">IF(OR(W92="",W92=0,X92=""),"",X92/W92)</f>
        <v>17.8333333333333</v>
      </c>
      <c r="Z92" s="4" t="n">
        <v>1</v>
      </c>
      <c r="AA92" s="4" t="s">
        <v>688</v>
      </c>
      <c r="AB92" s="8" t="s">
        <v>689</v>
      </c>
      <c r="AC92" s="9" t="s">
        <v>69</v>
      </c>
      <c r="AD92" s="10"/>
      <c r="AE92" s="4"/>
      <c r="AF92" s="11" t="n">
        <f aca="false">IF(AC92&lt;&gt;"Published",COUNTIF($AC$2:AC92,"&lt;&gt;Published"),"")</f>
        <v>91</v>
      </c>
    </row>
    <row r="93" customFormat="false" ht="26.85" hidden="false" customHeight="false" outlineLevel="0" collapsed="false">
      <c r="A93" s="4" t="n">
        <v>92</v>
      </c>
      <c r="B93" s="4" t="n">
        <f aca="false">ROUNDUP(A93/3,0)</f>
        <v>31</v>
      </c>
      <c r="C93" s="4" t="s">
        <v>621</v>
      </c>
      <c r="D93" s="4" t="s">
        <v>690</v>
      </c>
      <c r="E93" s="4" t="s">
        <v>431</v>
      </c>
      <c r="F93" s="5" t="s">
        <v>691</v>
      </c>
      <c r="G93" s="5" t="s">
        <v>692</v>
      </c>
      <c r="H93" s="4" t="s">
        <v>59</v>
      </c>
      <c r="I93" s="4" t="s">
        <v>60</v>
      </c>
      <c r="J93" s="4" t="s">
        <v>636</v>
      </c>
      <c r="K93" s="4" t="s">
        <v>221</v>
      </c>
      <c r="L93" s="4" t="s">
        <v>84</v>
      </c>
      <c r="M93" s="4" t="s">
        <v>75</v>
      </c>
      <c r="N93" s="4" t="n">
        <v>19</v>
      </c>
      <c r="O93" s="4" t="n">
        <v>11</v>
      </c>
      <c r="P93" s="4" t="n">
        <v>2</v>
      </c>
      <c r="Q93" s="4" t="n">
        <v>1</v>
      </c>
      <c r="R93" s="6" t="n">
        <v>6.4</v>
      </c>
      <c r="S93" s="6" t="n">
        <v>2.13</v>
      </c>
      <c r="T93" s="4" t="n">
        <v>8.5</v>
      </c>
      <c r="U93" s="5" t="s">
        <v>693</v>
      </c>
      <c r="V93" s="4" t="s">
        <v>694</v>
      </c>
      <c r="W93" s="7" t="n">
        <v>16100</v>
      </c>
      <c r="X93" s="7" t="n">
        <v>103000</v>
      </c>
      <c r="Y93" s="6" t="n">
        <f aca="false">IF(OR(W93="",W93=0,X93=""),"",X93/W93)</f>
        <v>6.39751552795031</v>
      </c>
      <c r="Z93" s="4" t="n">
        <v>3</v>
      </c>
      <c r="AA93" s="4" t="s">
        <v>695</v>
      </c>
      <c r="AB93" s="8" t="s">
        <v>696</v>
      </c>
      <c r="AC93" s="9" t="s">
        <v>69</v>
      </c>
      <c r="AD93" s="10"/>
      <c r="AE93" s="4"/>
      <c r="AF93" s="11" t="n">
        <f aca="false">IF(AC93&lt;&gt;"Published",COUNTIF($AC$2:AC93,"&lt;&gt;Published"),"")</f>
        <v>92</v>
      </c>
    </row>
    <row r="94" customFormat="false" ht="26.85" hidden="false" customHeight="false" outlineLevel="0" collapsed="false">
      <c r="A94" s="4" t="n">
        <v>93</v>
      </c>
      <c r="B94" s="4" t="n">
        <f aca="false">ROUNDUP(A94/3,0)</f>
        <v>31</v>
      </c>
      <c r="C94" s="4" t="s">
        <v>621</v>
      </c>
      <c r="D94" s="4" t="s">
        <v>697</v>
      </c>
      <c r="E94" s="4" t="s">
        <v>440</v>
      </c>
      <c r="F94" s="5" t="s">
        <v>698</v>
      </c>
      <c r="G94" s="5" t="s">
        <v>699</v>
      </c>
      <c r="H94" s="4" t="s">
        <v>59</v>
      </c>
      <c r="I94" s="4" t="s">
        <v>92</v>
      </c>
      <c r="J94" s="4" t="s">
        <v>700</v>
      </c>
      <c r="K94" s="4" t="s">
        <v>215</v>
      </c>
      <c r="L94" s="4" t="s">
        <v>84</v>
      </c>
      <c r="M94" s="4" t="s">
        <v>64</v>
      </c>
      <c r="N94" s="4" t="n">
        <v>183</v>
      </c>
      <c r="O94" s="4" t="n">
        <v>61</v>
      </c>
      <c r="P94" s="4" t="n">
        <v>19</v>
      </c>
      <c r="Q94" s="4" t="n">
        <v>6</v>
      </c>
      <c r="R94" s="6" t="n">
        <v>9.17</v>
      </c>
      <c r="S94" s="6" t="n">
        <v>10.26</v>
      </c>
      <c r="T94" s="4" t="n">
        <v>4</v>
      </c>
      <c r="U94" s="5" t="s">
        <v>701</v>
      </c>
      <c r="V94" s="4" t="s">
        <v>416</v>
      </c>
      <c r="W94" s="7" t="n">
        <v>130000</v>
      </c>
      <c r="X94" s="7" t="n">
        <v>1000000</v>
      </c>
      <c r="Y94" s="6" t="n">
        <f aca="false">IF(OR(W94="",W94=0,X94=""),"",X94/W94)</f>
        <v>7.69230769230769</v>
      </c>
      <c r="Z94" s="4" t="n">
        <v>0.75</v>
      </c>
      <c r="AA94" s="4" t="s">
        <v>702</v>
      </c>
      <c r="AB94" s="8" t="s">
        <v>703</v>
      </c>
      <c r="AC94" s="9" t="s">
        <v>69</v>
      </c>
      <c r="AD94" s="10"/>
      <c r="AE94" s="4"/>
      <c r="AF94" s="11" t="n">
        <f aca="false">IF(AC94&lt;&gt;"Published",COUNTIF($AC$2:AC94,"&lt;&gt;Published"),"")</f>
        <v>93</v>
      </c>
    </row>
    <row r="95" customFormat="false" ht="26.85" hidden="false" customHeight="false" outlineLevel="0" collapsed="false">
      <c r="A95" s="4" t="n">
        <v>94</v>
      </c>
      <c r="B95" s="4" t="n">
        <f aca="false">ROUNDUP(A95/3,0)</f>
        <v>32</v>
      </c>
      <c r="C95" s="4" t="s">
        <v>621</v>
      </c>
      <c r="D95" s="4" t="s">
        <v>704</v>
      </c>
      <c r="E95" s="4" t="s">
        <v>447</v>
      </c>
      <c r="F95" s="5" t="s">
        <v>705</v>
      </c>
      <c r="G95" s="5" t="s">
        <v>706</v>
      </c>
      <c r="H95" s="4" t="s">
        <v>74</v>
      </c>
      <c r="I95" s="4" t="s">
        <v>377</v>
      </c>
      <c r="J95" s="4" t="s">
        <v>707</v>
      </c>
      <c r="K95" s="4" t="s">
        <v>215</v>
      </c>
      <c r="L95" s="4" t="s">
        <v>63</v>
      </c>
      <c r="M95" s="4" t="s">
        <v>425</v>
      </c>
      <c r="N95" s="4" t="n">
        <v>17</v>
      </c>
      <c r="O95" s="4" t="n">
        <v>5</v>
      </c>
      <c r="P95" s="4" t="n">
        <v>1</v>
      </c>
      <c r="Q95" s="4" t="n">
        <v>0</v>
      </c>
      <c r="R95" s="6" t="n">
        <v>1.48</v>
      </c>
      <c r="S95" s="6" t="n">
        <v>0.02</v>
      </c>
      <c r="T95" s="4" t="n">
        <v>0.2</v>
      </c>
      <c r="U95" s="5" t="s">
        <v>708</v>
      </c>
      <c r="V95" s="4" t="s">
        <v>709</v>
      </c>
      <c r="W95" s="7" t="n">
        <v>126000</v>
      </c>
      <c r="X95" s="7" t="n">
        <v>187000</v>
      </c>
      <c r="Y95" s="6" t="n">
        <f aca="false">IF(OR(W95="",W95=0,X95=""),"",X95/W95)</f>
        <v>1.48412698412698</v>
      </c>
      <c r="Z95" s="4" t="n">
        <v>0.25</v>
      </c>
      <c r="AA95" s="4" t="s">
        <v>710</v>
      </c>
      <c r="AB95" s="8" t="s">
        <v>711</v>
      </c>
      <c r="AC95" s="9" t="s">
        <v>69</v>
      </c>
      <c r="AD95" s="10"/>
      <c r="AE95" s="4"/>
      <c r="AF95" s="11" t="n">
        <f aca="false">IF(AC95&lt;&gt;"Published",COUNTIF($AC$2:AC95,"&lt;&gt;Published"),"")</f>
        <v>94</v>
      </c>
    </row>
    <row r="96" customFormat="false" ht="26.85" hidden="false" customHeight="false" outlineLevel="0" collapsed="false">
      <c r="A96" s="4" t="n">
        <v>95</v>
      </c>
      <c r="B96" s="4" t="n">
        <f aca="false">ROUNDUP(A96/3,0)</f>
        <v>32</v>
      </c>
      <c r="C96" s="4" t="s">
        <v>621</v>
      </c>
      <c r="D96" s="4" t="s">
        <v>712</v>
      </c>
      <c r="E96" s="4" t="s">
        <v>431</v>
      </c>
      <c r="F96" s="5" t="s">
        <v>713</v>
      </c>
      <c r="G96" s="5" t="s">
        <v>714</v>
      </c>
      <c r="H96" s="4" t="s">
        <v>74</v>
      </c>
      <c r="I96" s="4" t="s">
        <v>92</v>
      </c>
      <c r="J96" s="4" t="s">
        <v>636</v>
      </c>
      <c r="K96" s="4" t="s">
        <v>62</v>
      </c>
      <c r="L96" s="4" t="s">
        <v>84</v>
      </c>
      <c r="M96" s="4" t="s">
        <v>64</v>
      </c>
      <c r="N96" s="4" t="n">
        <v>89</v>
      </c>
      <c r="O96" s="4" t="n">
        <v>43</v>
      </c>
      <c r="P96" s="4" t="n">
        <v>11</v>
      </c>
      <c r="Q96" s="4" t="n">
        <v>2</v>
      </c>
      <c r="R96" s="6" t="n">
        <v>9.95</v>
      </c>
      <c r="S96" s="6" t="n">
        <v>2.36</v>
      </c>
      <c r="T96" s="4" t="n">
        <v>5</v>
      </c>
      <c r="U96" s="5" t="s">
        <v>715</v>
      </c>
      <c r="V96" s="4" t="s">
        <v>258</v>
      </c>
      <c r="W96" s="7" t="n">
        <v>18900</v>
      </c>
      <c r="X96" s="7" t="n">
        <v>188000</v>
      </c>
      <c r="Y96" s="6" t="n">
        <f aca="false">IF(OR(W96="",W96=0,X96=""),"",X96/W96)</f>
        <v>9.94708994708995</v>
      </c>
      <c r="Z96" s="4" t="n">
        <v>12</v>
      </c>
      <c r="AA96" s="4" t="s">
        <v>716</v>
      </c>
      <c r="AB96" s="8" t="s">
        <v>717</v>
      </c>
      <c r="AC96" s="9" t="s">
        <v>69</v>
      </c>
      <c r="AD96" s="10"/>
      <c r="AE96" s="4"/>
      <c r="AF96" s="11" t="n">
        <f aca="false">IF(AC96&lt;&gt;"Published",COUNTIF($AC$2:AC96,"&lt;&gt;Published"),"")</f>
        <v>95</v>
      </c>
    </row>
    <row r="97" customFormat="false" ht="26.85" hidden="false" customHeight="false" outlineLevel="0" collapsed="false">
      <c r="A97" s="4" t="n">
        <v>96</v>
      </c>
      <c r="B97" s="4" t="n">
        <f aca="false">ROUNDUP(A97/3,0)</f>
        <v>32</v>
      </c>
      <c r="C97" s="4" t="s">
        <v>621</v>
      </c>
      <c r="D97" s="4" t="s">
        <v>718</v>
      </c>
      <c r="E97" s="4" t="s">
        <v>440</v>
      </c>
      <c r="F97" s="5" t="s">
        <v>719</v>
      </c>
      <c r="G97" s="5" t="s">
        <v>720</v>
      </c>
      <c r="H97" s="4" t="s">
        <v>74</v>
      </c>
      <c r="I97" s="4" t="s">
        <v>377</v>
      </c>
      <c r="J97" s="4" t="s">
        <v>721</v>
      </c>
      <c r="K97" s="4" t="s">
        <v>215</v>
      </c>
      <c r="L97" s="4" t="s">
        <v>84</v>
      </c>
      <c r="M97" s="4" t="s">
        <v>75</v>
      </c>
      <c r="N97" s="4" t="n">
        <v>125</v>
      </c>
      <c r="O97" s="4" t="n">
        <v>44</v>
      </c>
      <c r="P97" s="4" t="n">
        <v>22</v>
      </c>
      <c r="Q97" s="4" t="n">
        <v>2</v>
      </c>
      <c r="R97" s="6" t="n">
        <v>6.37</v>
      </c>
      <c r="S97" s="6" t="n">
        <v>4.95</v>
      </c>
      <c r="T97" s="4" t="n">
        <v>12.5</v>
      </c>
      <c r="U97" s="5" t="s">
        <v>722</v>
      </c>
      <c r="V97" s="4" t="s">
        <v>416</v>
      </c>
      <c r="W97" s="7" t="n">
        <v>130000</v>
      </c>
      <c r="X97" s="7" t="n">
        <v>590000</v>
      </c>
      <c r="Y97" s="6" t="n">
        <f aca="false">IF(OR(W97="",W97=0,X97=""),"",X97/W97)</f>
        <v>4.53846153846154</v>
      </c>
      <c r="Z97" s="4" t="n">
        <v>0.92</v>
      </c>
      <c r="AA97" s="4" t="s">
        <v>723</v>
      </c>
      <c r="AB97" s="8" t="s">
        <v>724</v>
      </c>
      <c r="AC97" s="9" t="s">
        <v>69</v>
      </c>
      <c r="AD97" s="10"/>
      <c r="AE97" s="4"/>
      <c r="AF97" s="11" t="n">
        <f aca="false">IF(AC97&lt;&gt;"Published",COUNTIF($AC$2:AC97,"&lt;&gt;Published"),"")</f>
        <v>96</v>
      </c>
    </row>
    <row r="98" customFormat="false" ht="26.85" hidden="false" customHeight="false" outlineLevel="0" collapsed="false">
      <c r="A98" s="4" t="n">
        <v>97</v>
      </c>
      <c r="B98" s="4" t="n">
        <f aca="false">ROUNDUP(A98/3,0)</f>
        <v>33</v>
      </c>
      <c r="C98" s="4" t="s">
        <v>621</v>
      </c>
      <c r="D98" s="4" t="s">
        <v>725</v>
      </c>
      <c r="E98" s="4" t="s">
        <v>431</v>
      </c>
      <c r="F98" s="5" t="s">
        <v>726</v>
      </c>
      <c r="G98" s="5" t="s">
        <v>727</v>
      </c>
      <c r="H98" s="4" t="s">
        <v>59</v>
      </c>
      <c r="I98" s="4" t="s">
        <v>100</v>
      </c>
      <c r="J98" s="4" t="s">
        <v>712</v>
      </c>
      <c r="K98" s="4" t="s">
        <v>221</v>
      </c>
      <c r="L98" s="4" t="s">
        <v>63</v>
      </c>
      <c r="M98" s="4" t="s">
        <v>64</v>
      </c>
      <c r="N98" s="4" t="n">
        <v>5</v>
      </c>
      <c r="O98" s="4" t="n">
        <v>5</v>
      </c>
      <c r="P98" s="4" t="n">
        <v>1</v>
      </c>
      <c r="Q98" s="4" t="n">
        <v>0</v>
      </c>
      <c r="R98" s="6" t="n">
        <v>1</v>
      </c>
      <c r="S98" s="6" t="n">
        <v>0.2</v>
      </c>
      <c r="T98" s="4" t="n">
        <v>5</v>
      </c>
      <c r="U98" s="5" t="s">
        <v>728</v>
      </c>
      <c r="V98" s="4" t="s">
        <v>729</v>
      </c>
      <c r="W98" s="7" t="n">
        <v>20000</v>
      </c>
      <c r="X98" s="7" t="n">
        <v>20000</v>
      </c>
      <c r="Y98" s="6" t="n">
        <f aca="false">IF(OR(W98="",W98=0,X98=""),"",X98/W98)</f>
        <v>1</v>
      </c>
      <c r="Z98" s="4" t="n">
        <v>5</v>
      </c>
      <c r="AA98" s="4" t="s">
        <v>667</v>
      </c>
      <c r="AB98" s="8" t="s">
        <v>730</v>
      </c>
      <c r="AC98" s="9" t="s">
        <v>69</v>
      </c>
      <c r="AD98" s="10"/>
      <c r="AE98" s="4"/>
      <c r="AF98" s="11" t="n">
        <f aca="false">IF(AC98&lt;&gt;"Published",COUNTIF($AC$2:AC98,"&lt;&gt;Published"),"")</f>
        <v>97</v>
      </c>
    </row>
    <row r="99" customFormat="false" ht="26.85" hidden="false" customHeight="false" outlineLevel="0" collapsed="false">
      <c r="A99" s="4" t="n">
        <v>98</v>
      </c>
      <c r="B99" s="4" t="n">
        <f aca="false">ROUNDUP(A99/3,0)</f>
        <v>33</v>
      </c>
      <c r="C99" s="4" t="s">
        <v>621</v>
      </c>
      <c r="D99" s="4" t="s">
        <v>731</v>
      </c>
      <c r="E99" s="4" t="s">
        <v>440</v>
      </c>
      <c r="F99" s="5" t="s">
        <v>732</v>
      </c>
      <c r="G99" s="5" t="s">
        <v>733</v>
      </c>
      <c r="H99" s="4" t="s">
        <v>74</v>
      </c>
      <c r="I99" s="4" t="s">
        <v>377</v>
      </c>
      <c r="J99" s="4" t="s">
        <v>734</v>
      </c>
      <c r="K99" s="4" t="s">
        <v>215</v>
      </c>
      <c r="L99" s="4" t="s">
        <v>63</v>
      </c>
      <c r="M99" s="4" t="s">
        <v>75</v>
      </c>
      <c r="N99" s="4" t="n">
        <v>91</v>
      </c>
      <c r="O99" s="4" t="n">
        <v>39</v>
      </c>
      <c r="P99" s="4" t="n">
        <v>6</v>
      </c>
      <c r="Q99" s="4" t="n">
        <v>0</v>
      </c>
      <c r="R99" s="6" t="n">
        <v>5.12</v>
      </c>
      <c r="S99" s="6" t="n">
        <v>0.48</v>
      </c>
      <c r="T99" s="4" t="n">
        <v>9</v>
      </c>
      <c r="U99" s="5" t="s">
        <v>735</v>
      </c>
      <c r="V99" s="4" t="s">
        <v>736</v>
      </c>
      <c r="W99" s="7" t="n">
        <v>28900</v>
      </c>
      <c r="X99" s="7" t="n">
        <v>148000</v>
      </c>
      <c r="Y99" s="6" t="n">
        <f aca="false">IF(OR(W99="",W99=0,X99=""),"",X99/W99)</f>
        <v>5.12110726643599</v>
      </c>
      <c r="Z99" s="4" t="n">
        <v>13</v>
      </c>
      <c r="AA99" s="4" t="s">
        <v>737</v>
      </c>
      <c r="AB99" s="8" t="s">
        <v>738</v>
      </c>
      <c r="AC99" s="9" t="s">
        <v>69</v>
      </c>
      <c r="AD99" s="10"/>
      <c r="AE99" s="4"/>
      <c r="AF99" s="11" t="n">
        <f aca="false">IF(AC99&lt;&gt;"Published",COUNTIF($AC$2:AC99,"&lt;&gt;Published"),"")</f>
        <v>98</v>
      </c>
    </row>
    <row r="100" customFormat="false" ht="26.85" hidden="false" customHeight="false" outlineLevel="0" collapsed="false">
      <c r="A100" s="4" t="n">
        <v>99</v>
      </c>
      <c r="B100" s="4" t="n">
        <f aca="false">ROUNDUP(A100/3,0)</f>
        <v>33</v>
      </c>
      <c r="C100" s="4" t="s">
        <v>621</v>
      </c>
      <c r="D100" s="4" t="s">
        <v>739</v>
      </c>
      <c r="E100" s="4" t="s">
        <v>440</v>
      </c>
      <c r="F100" s="5" t="s">
        <v>740</v>
      </c>
      <c r="G100" s="5" t="s">
        <v>741</v>
      </c>
      <c r="H100" s="4" t="s">
        <v>59</v>
      </c>
      <c r="I100" s="4" t="s">
        <v>377</v>
      </c>
      <c r="J100" s="4" t="s">
        <v>718</v>
      </c>
      <c r="K100" s="4" t="s">
        <v>215</v>
      </c>
      <c r="L100" s="4" t="s">
        <v>84</v>
      </c>
      <c r="M100" s="4" t="s">
        <v>64</v>
      </c>
      <c r="N100" s="4" t="n">
        <v>135</v>
      </c>
      <c r="O100" s="4" t="n">
        <v>52</v>
      </c>
      <c r="P100" s="4" t="n">
        <v>12</v>
      </c>
      <c r="Q100" s="4" t="n">
        <v>2</v>
      </c>
      <c r="R100" s="6" t="n">
        <v>169.49</v>
      </c>
      <c r="S100" s="6" t="n">
        <v>28.25</v>
      </c>
      <c r="T100" s="4" t="n">
        <v>6.5</v>
      </c>
      <c r="U100" s="5" t="s">
        <v>742</v>
      </c>
      <c r="V100" s="4" t="s">
        <v>743</v>
      </c>
      <c r="W100" s="7" t="n">
        <v>8260</v>
      </c>
      <c r="X100" s="7" t="n">
        <v>1400000</v>
      </c>
      <c r="Y100" s="6" t="n">
        <f aca="false">IF(OR(W100="",W100=0,X100=""),"",X100/W100)</f>
        <v>169.491525423729</v>
      </c>
      <c r="Z100" s="4" t="n">
        <v>6</v>
      </c>
      <c r="AA100" s="4" t="s">
        <v>744</v>
      </c>
      <c r="AB100" s="8" t="s">
        <v>745</v>
      </c>
      <c r="AC100" s="9" t="s">
        <v>69</v>
      </c>
      <c r="AD100" s="10"/>
      <c r="AE100" s="4"/>
      <c r="AF100" s="11" t="n">
        <f aca="false">IF(AC100&lt;&gt;"Published",COUNTIF($AC$2:AC100,"&lt;&gt;Published"),"")</f>
        <v>99</v>
      </c>
    </row>
    <row r="101" customFormat="false" ht="26.85" hidden="false" customHeight="false" outlineLevel="0" collapsed="false">
      <c r="A101" s="4" t="n">
        <v>100</v>
      </c>
      <c r="B101" s="4" t="n">
        <f aca="false">ROUNDUP(A101/3,0)</f>
        <v>34</v>
      </c>
      <c r="C101" s="4" t="s">
        <v>621</v>
      </c>
      <c r="D101" s="4" t="s">
        <v>746</v>
      </c>
      <c r="E101" s="4" t="s">
        <v>440</v>
      </c>
      <c r="F101" s="5" t="s">
        <v>747</v>
      </c>
      <c r="G101" s="5" t="s">
        <v>748</v>
      </c>
      <c r="H101" s="4" t="s">
        <v>74</v>
      </c>
      <c r="I101" s="4" t="s">
        <v>377</v>
      </c>
      <c r="J101" s="4" t="s">
        <v>533</v>
      </c>
      <c r="K101" s="4" t="s">
        <v>83</v>
      </c>
      <c r="L101" s="4" t="s">
        <v>84</v>
      </c>
      <c r="M101" s="4" t="s">
        <v>75</v>
      </c>
      <c r="N101" s="4" t="n">
        <v>337</v>
      </c>
      <c r="O101" s="4" t="n">
        <v>86</v>
      </c>
      <c r="P101" s="4" t="n">
        <v>19</v>
      </c>
      <c r="Q101" s="4" t="n">
        <v>4</v>
      </c>
      <c r="R101" s="6" t="n">
        <v>20</v>
      </c>
      <c r="S101" s="6" t="n">
        <v>6.67</v>
      </c>
      <c r="T101" s="4" t="n">
        <v>8</v>
      </c>
      <c r="U101" s="5" t="s">
        <v>749</v>
      </c>
      <c r="V101" s="4" t="s">
        <v>537</v>
      </c>
      <c r="W101" s="7" t="n">
        <v>2800</v>
      </c>
      <c r="X101" s="7" t="n">
        <v>56000</v>
      </c>
      <c r="Y101" s="6" t="n">
        <f aca="false">IF(OR(W101="",W101=0,X101=""),"",X101/W101)</f>
        <v>20</v>
      </c>
      <c r="Z101" s="4" t="n">
        <v>3</v>
      </c>
      <c r="AA101" s="4" t="s">
        <v>647</v>
      </c>
      <c r="AB101" s="8" t="s">
        <v>750</v>
      </c>
      <c r="AC101" s="9" t="s">
        <v>69</v>
      </c>
      <c r="AD101" s="10"/>
      <c r="AE101" s="4"/>
      <c r="AF101" s="11" t="n">
        <f aca="false">IF(AC101&lt;&gt;"Published",COUNTIF($AC$2:AC101,"&lt;&gt;Published"),"")</f>
        <v>100</v>
      </c>
    </row>
  </sheetData>
  <autoFilter ref="A1:AD101"/>
  <conditionalFormatting sqref="L2:L101">
    <cfRule type="cellIs" priority="2" operator="equal" aboveAverage="0" equalAverage="0" bottom="0" percent="0" rank="0" text="" dxfId="9">
      <formula>"High"</formula>
    </cfRule>
    <cfRule type="cellIs" priority="3" operator="equal" aboveAverage="0" equalAverage="0" bottom="0" percent="0" rank="0" text="" dxfId="10">
      <formula>"Medium"</formula>
    </cfRule>
    <cfRule type="cellIs" priority="4" operator="equal" aboveAverage="0" equalAverage="0" bottom="0" percent="0" rank="0" text="" dxfId="11">
      <formula>"Low"</formula>
    </cfRule>
  </conditionalFormatting>
  <conditionalFormatting sqref="M2:M101">
    <cfRule type="cellIs" priority="5" operator="equal" aboveAverage="0" equalAverage="0" bottom="0" percent="0" rank="0" text="" dxfId="12">
      <formula>"Stale (median outlier age 8y+)"</formula>
    </cfRule>
  </conditionalFormatting>
  <conditionalFormatting sqref="AC2:AC101">
    <cfRule type="cellIs" priority="6" operator="equal" aboveAverage="0" equalAverage="0" bottom="0" percent="0" rank="0" text="" dxfId="9">
      <formula>"Published"</formula>
    </cfRule>
  </conditionalFormatting>
  <dataValidations count="1">
    <dataValidation allowBlank="true" errorStyle="stop" operator="between" showDropDown="false" showErrorMessage="false" showInputMessage="false" sqref="AC2:AC101" type="list">
      <formula1>"Planned,Scripted,Audio done,Rendered,Published"</formula1>
      <formula2>0</formula2>
    </dataValidation>
  </dataValidations>
  <hyperlinks>
    <hyperlink ref="AB2" r:id="rId1" display="https://youtu.be/Gz09VNG5wJc"/>
    <hyperlink ref="AB3" r:id="rId2" display="https://youtu.be/B5LVoU_a08c"/>
    <hyperlink ref="AB4" r:id="rId3" display="https://youtu.be/WJN_F3PYp58"/>
    <hyperlink ref="AB5" r:id="rId4" display="https://youtu.be/WmZ3G2DWHlg"/>
    <hyperlink ref="AB6" r:id="rId5" display="https://youtu.be/EZXLkAYjmR0"/>
    <hyperlink ref="AB7" r:id="rId6" display="https://youtu.be/QNIJC1emss8"/>
    <hyperlink ref="AB8" r:id="rId7" display="https://youtu.be/1eRimU5befo"/>
    <hyperlink ref="AB9" r:id="rId8" display="https://youtu.be/j3GrOKre__0"/>
    <hyperlink ref="AB10" r:id="rId9" display="https://youtu.be/5vtH1uBaoBY"/>
    <hyperlink ref="AB11" r:id="rId10" display="https://youtu.be/cy_KI_FiS7I"/>
    <hyperlink ref="AB12" r:id="rId11" display="https://youtu.be/oKvscIVhelo"/>
    <hyperlink ref="AB13" r:id="rId12" display="https://youtu.be/x6jajfprWZo"/>
    <hyperlink ref="AB14" r:id="rId13" display="https://youtu.be/4q0KzgCNuyo"/>
    <hyperlink ref="AB15" r:id="rId14" display="https://youtu.be/yR8-NX82zOQ"/>
    <hyperlink ref="AB16" r:id="rId15" display="https://youtu.be/wIoiXgT7IX8"/>
    <hyperlink ref="AB17" r:id="rId16" display="https://youtu.be/b_S-Ni5n-2s"/>
    <hyperlink ref="AB18" r:id="rId17" display="https://youtu.be/BSF3wZfpkcI"/>
    <hyperlink ref="AB19" r:id="rId18" display="https://youtu.be/orsMYomjwIw"/>
    <hyperlink ref="AB20" r:id="rId19" display="https://youtu.be/HY_PjmHRxuE"/>
    <hyperlink ref="AB21" r:id="rId20" display="https://youtu.be/U7QBSL1nnAA"/>
    <hyperlink ref="AB22" r:id="rId21" display="https://youtu.be/5vtH1uBaoBY"/>
    <hyperlink ref="AB23" r:id="rId22" display="https://youtu.be/WUpDMi50zPs"/>
    <hyperlink ref="AB24" r:id="rId23" display="https://youtu.be/AcsrBCEJz-Y"/>
    <hyperlink ref="AB25" r:id="rId24" display="https://youtu.be/ryGzpGpTtIM"/>
    <hyperlink ref="AB26" r:id="rId25" display="https://youtu.be/sMnbx4dYlHY"/>
    <hyperlink ref="AB27" r:id="rId26" display="https://youtu.be/8FXPmYGIOs4"/>
    <hyperlink ref="AB28" r:id="rId27" display="https://youtu.be/XfkJ7wBT-PA"/>
    <hyperlink ref="AB29" r:id="rId28" display="https://youtu.be/VxGIiOTuAIs"/>
    <hyperlink ref="AB30" r:id="rId29" display="https://youtu.be/PxF7gDcaM6I"/>
    <hyperlink ref="AB31" r:id="rId30" display="https://youtu.be/Wgtw5lPKFXI"/>
    <hyperlink ref="AB32" r:id="rId31" display="https://youtu.be/eKEorBipbO8"/>
    <hyperlink ref="AB33" r:id="rId32" display="https://youtu.be/kvYFNs6In6Y"/>
    <hyperlink ref="AB34" r:id="rId33" display="https://youtu.be/2fkkWihW2Uk"/>
    <hyperlink ref="AB35" r:id="rId34" display="https://youtu.be/8FXPmYGIOs4"/>
    <hyperlink ref="AB36" r:id="rId35" display="https://youtu.be/NjoMoH51UZc"/>
    <hyperlink ref="AB37" r:id="rId36" display="https://youtu.be/guL3KKLsqsw"/>
    <hyperlink ref="AB38" r:id="rId37" display="https://youtu.be/HdjxMw9bumI"/>
    <hyperlink ref="AB39" r:id="rId38" display="https://youtu.be/d73e3QiMdSU"/>
    <hyperlink ref="AB40" r:id="rId39" display="https://youtu.be/8bTvHbrJ8Cg"/>
    <hyperlink ref="AB41" r:id="rId40" display="https://youtu.be/Bz6vexpZItw"/>
    <hyperlink ref="AB42" r:id="rId41" display="https://youtu.be/HdjxMw9bumI"/>
    <hyperlink ref="AB43" r:id="rId42" display="https://youtu.be/v3-HwZMThzQ"/>
    <hyperlink ref="AB44" r:id="rId43" display="https://youtu.be/ZSDpIpnlTbY"/>
    <hyperlink ref="AB45" r:id="rId44" display="https://youtu.be/AVYbTI73wSU"/>
    <hyperlink ref="AB46" r:id="rId45" display="https://youtu.be/OcI2GPB4y6A"/>
    <hyperlink ref="AB47" r:id="rId46" display="https://youtu.be/ZSDpIpnlTbY"/>
    <hyperlink ref="AB48" r:id="rId47" display="https://youtu.be/-5sZk8FTVag"/>
    <hyperlink ref="AB49" r:id="rId48" display="https://youtu.be/NasmLQOf30s"/>
    <hyperlink ref="AB50" r:id="rId49" display="https://youtu.be/CrWSFL01qV0"/>
    <hyperlink ref="AB51" r:id="rId50" display="https://youtu.be/b6uru1lYUeI"/>
    <hyperlink ref="AB52" r:id="rId51" display="https://youtu.be/sP1DzhT8Vzo"/>
    <hyperlink ref="AB53" r:id="rId52" display="https://youtu.be/WI0ZLkxJ6Zk"/>
    <hyperlink ref="AB54" r:id="rId53" display="https://youtu.be/0a8gjbn33rM"/>
    <hyperlink ref="AB55" r:id="rId54" display="https://youtu.be/Lic3gCS_bKo"/>
    <hyperlink ref="AB56" r:id="rId55" display="https://youtu.be/SchfetsZysM"/>
    <hyperlink ref="AB57" r:id="rId56" display="https://youtu.be/f5liqUk0ZTw"/>
    <hyperlink ref="AB58" r:id="rId57" display="https://youtu.be/MKhxRE2apWI"/>
    <hyperlink ref="AB59" r:id="rId58" display="https://youtu.be/uyU25DdONjo"/>
    <hyperlink ref="AB60" r:id="rId59" display="https://youtu.be/yGWEuxaaMNw"/>
    <hyperlink ref="AB61" r:id="rId60" display="https://youtu.be/ATRzwhk7UvY"/>
    <hyperlink ref="AB62" r:id="rId61" display="https://youtu.be/utY72MD-Ii4"/>
    <hyperlink ref="AB63" r:id="rId62" display="https://youtu.be/sbNEtMUjiMU"/>
    <hyperlink ref="AB64" r:id="rId63" display="https://youtu.be/AMQ6VeXV278"/>
    <hyperlink ref="AB65" r:id="rId64" display="https://youtu.be/lwO0V5FitAo"/>
    <hyperlink ref="AB66" r:id="rId65" display="https://youtu.be/PWvIYU_Z8z8"/>
    <hyperlink ref="AB67" r:id="rId66" display="https://youtu.be/hk63uUhkZH4"/>
    <hyperlink ref="AB68" r:id="rId67" display="https://youtu.be/r2GIY2ZmXPY"/>
    <hyperlink ref="AB69" r:id="rId68" display="https://youtu.be/3e-LZPHBA2M"/>
    <hyperlink ref="AB70" r:id="rId69" display="https://youtu.be/Oo7wuas5xNU"/>
    <hyperlink ref="AB71" r:id="rId70" display="https://youtu.be/AMQ6VeXV278"/>
    <hyperlink ref="AB72" r:id="rId71" display="https://youtu.be/M6PuutIm5h4"/>
    <hyperlink ref="AB73" r:id="rId72" display="https://youtu.be/n5bKzBZ7XuM"/>
    <hyperlink ref="AB74" r:id="rId73" display="https://youtu.be/EH2A8mZmM9M"/>
    <hyperlink ref="AB75" r:id="rId74" display="https://youtu.be/ekn_XqpALWU"/>
    <hyperlink ref="AB76" r:id="rId75" display="https://youtu.be/RjY5bZ4Bl8o"/>
    <hyperlink ref="AB77" r:id="rId76" display="https://youtu.be/qGv0UuzALJA"/>
    <hyperlink ref="AB78" r:id="rId77" display="https://youtu.be/-gr7KmTOrx0"/>
    <hyperlink ref="AB79" r:id="rId78" display="https://youtu.be/q6B8Cpvg3ak"/>
    <hyperlink ref="AB80" r:id="rId79" display="https://youtu.be/ktvsucLC_WY"/>
    <hyperlink ref="AB81" r:id="rId80" display="https://youtu.be/8V_G75YlV9o"/>
    <hyperlink ref="AB82" r:id="rId81" display="https://youtu.be/0BIgFKVnlBU"/>
    <hyperlink ref="AB83" r:id="rId82" display="https://youtu.be/Af9lRX4xsr0"/>
    <hyperlink ref="AB84" r:id="rId83" display="https://youtu.be/p8oAEuDO0pQ"/>
    <hyperlink ref="AB85" r:id="rId84" display="https://youtu.be/_uy6LsTBf84"/>
    <hyperlink ref="AB86" r:id="rId85" display="https://youtu.be/PhFYMf70GrQ"/>
    <hyperlink ref="AB87" r:id="rId86" display="https://youtu.be/8WpUFReBvdY"/>
    <hyperlink ref="AB88" r:id="rId87" display="https://youtu.be/Dvoe8Ib5D1o"/>
    <hyperlink ref="AB89" r:id="rId88" display="https://youtu.be/gxfpoKgKvGI"/>
    <hyperlink ref="AB90" r:id="rId89" display="https://youtu.be/rUm6k-cpKbA"/>
    <hyperlink ref="AB91" r:id="rId90" display="https://youtu.be/AdQlg3eZgpY"/>
    <hyperlink ref="AB92" r:id="rId91" display="https://youtu.be/KELriDAtqio"/>
    <hyperlink ref="AB93" r:id="rId92" display="https://youtu.be/iG18FO71R3w"/>
    <hyperlink ref="AB94" r:id="rId93" display="https://youtu.be/BcNHTv7Rw3c"/>
    <hyperlink ref="AB95" r:id="rId94" display="https://youtu.be/tOC8vfVAnus"/>
    <hyperlink ref="AB96" r:id="rId95" display="https://youtu.be/GgfKdVFfM28"/>
    <hyperlink ref="AB97" r:id="rId96" display="https://youtu.be/mkpKR_8z6GU"/>
    <hyperlink ref="AB98" r:id="rId97" display="https://youtu.be/YAMmhTexnS0"/>
    <hyperlink ref="AB99" r:id="rId98" display="https://youtu.be/gRdCV9p8sAU"/>
    <hyperlink ref="AB100" r:id="rId99" display="https://youtu.be/JFSU9X11wyY"/>
    <hyperlink ref="AB101" r:id="rId100" display="https://youtu.be/21_W5NEVTX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5" min="2" style="0" width="52"/>
  </cols>
  <sheetData>
    <row r="1" customFormat="false" ht="15" hidden="false" customHeight="false" outlineLevel="0" collapsed="false">
      <c r="A1" s="3" t="s">
        <v>24</v>
      </c>
      <c r="B1" s="3" t="s">
        <v>25</v>
      </c>
      <c r="C1" s="3" t="s">
        <v>751</v>
      </c>
      <c r="D1" s="3" t="s">
        <v>752</v>
      </c>
      <c r="E1" s="3" t="s">
        <v>753</v>
      </c>
    </row>
    <row r="2" customFormat="false" ht="26.85" hidden="false" customHeight="false" outlineLevel="0" collapsed="false">
      <c r="A2" s="4" t="n">
        <v>1</v>
      </c>
      <c r="B2" s="4" t="s">
        <v>54</v>
      </c>
      <c r="C2" s="5" t="s">
        <v>754</v>
      </c>
      <c r="D2" s="5" t="s">
        <v>755</v>
      </c>
      <c r="E2" s="5" t="s">
        <v>756</v>
      </c>
    </row>
    <row r="3" customFormat="false" ht="26.85" hidden="false" customHeight="false" outlineLevel="0" collapsed="false">
      <c r="A3" s="4" t="n">
        <v>2</v>
      </c>
      <c r="B3" s="4" t="s">
        <v>54</v>
      </c>
      <c r="C3" s="5" t="s">
        <v>757</v>
      </c>
      <c r="D3" s="5" t="s">
        <v>758</v>
      </c>
      <c r="E3" s="5" t="s">
        <v>759</v>
      </c>
    </row>
    <row r="4" customFormat="false" ht="26.85" hidden="false" customHeight="false" outlineLevel="0" collapsed="false">
      <c r="A4" s="4" t="n">
        <v>3</v>
      </c>
      <c r="B4" s="4" t="s">
        <v>54</v>
      </c>
      <c r="C4" s="5" t="s">
        <v>760</v>
      </c>
      <c r="D4" s="5" t="s">
        <v>761</v>
      </c>
      <c r="E4" s="5" t="s">
        <v>762</v>
      </c>
    </row>
    <row r="5" customFormat="false" ht="26.85" hidden="false" customHeight="false" outlineLevel="0" collapsed="false">
      <c r="A5" s="4" t="n">
        <v>4</v>
      </c>
      <c r="B5" s="4" t="s">
        <v>54</v>
      </c>
      <c r="C5" s="5" t="s">
        <v>763</v>
      </c>
      <c r="D5" s="5" t="s">
        <v>764</v>
      </c>
      <c r="E5" s="5" t="s">
        <v>765</v>
      </c>
    </row>
    <row r="6" customFormat="false" ht="26.85" hidden="false" customHeight="false" outlineLevel="0" collapsed="false">
      <c r="A6" s="4" t="n">
        <v>5</v>
      </c>
      <c r="B6" s="4" t="s">
        <v>54</v>
      </c>
      <c r="C6" s="5" t="s">
        <v>766</v>
      </c>
      <c r="D6" s="5" t="s">
        <v>767</v>
      </c>
      <c r="E6" s="5" t="s">
        <v>768</v>
      </c>
    </row>
    <row r="7" customFormat="false" ht="26.85" hidden="false" customHeight="false" outlineLevel="0" collapsed="false">
      <c r="A7" s="4" t="n">
        <v>6</v>
      </c>
      <c r="B7" s="4" t="s">
        <v>54</v>
      </c>
      <c r="C7" s="5" t="s">
        <v>769</v>
      </c>
      <c r="D7" s="5" t="s">
        <v>770</v>
      </c>
      <c r="E7" s="5" t="s">
        <v>771</v>
      </c>
    </row>
    <row r="8" customFormat="false" ht="26.85" hidden="false" customHeight="false" outlineLevel="0" collapsed="false">
      <c r="A8" s="4" t="n">
        <v>7</v>
      </c>
      <c r="B8" s="4" t="s">
        <v>54</v>
      </c>
      <c r="C8" s="5" t="s">
        <v>772</v>
      </c>
      <c r="D8" s="5" t="s">
        <v>773</v>
      </c>
      <c r="E8" s="5" t="s">
        <v>774</v>
      </c>
    </row>
    <row r="9" customFormat="false" ht="26.85" hidden="false" customHeight="false" outlineLevel="0" collapsed="false">
      <c r="A9" s="4" t="n">
        <v>8</v>
      </c>
      <c r="B9" s="4" t="s">
        <v>54</v>
      </c>
      <c r="C9" s="5" t="s">
        <v>775</v>
      </c>
      <c r="D9" s="5" t="s">
        <v>776</v>
      </c>
      <c r="E9" s="5" t="s">
        <v>777</v>
      </c>
    </row>
    <row r="10" customFormat="false" ht="26.85" hidden="false" customHeight="false" outlineLevel="0" collapsed="false">
      <c r="A10" s="4" t="n">
        <v>9</v>
      </c>
      <c r="B10" s="4" t="s">
        <v>232</v>
      </c>
      <c r="C10" s="5" t="s">
        <v>778</v>
      </c>
      <c r="D10" s="5" t="s">
        <v>779</v>
      </c>
      <c r="E10" s="5" t="s">
        <v>780</v>
      </c>
    </row>
    <row r="11" customFormat="false" ht="26.85" hidden="false" customHeight="false" outlineLevel="0" collapsed="false">
      <c r="A11" s="4" t="n">
        <v>10</v>
      </c>
      <c r="B11" s="4" t="s">
        <v>232</v>
      </c>
      <c r="C11" s="5" t="s">
        <v>781</v>
      </c>
      <c r="D11" s="5" t="s">
        <v>782</v>
      </c>
      <c r="E11" s="5" t="s">
        <v>783</v>
      </c>
    </row>
    <row r="12" customFormat="false" ht="26.85" hidden="false" customHeight="false" outlineLevel="0" collapsed="false">
      <c r="A12" s="4" t="n">
        <v>11</v>
      </c>
      <c r="B12" s="4" t="s">
        <v>232</v>
      </c>
      <c r="C12" s="5" t="s">
        <v>784</v>
      </c>
      <c r="D12" s="5" t="s">
        <v>785</v>
      </c>
      <c r="E12" s="5" t="s">
        <v>786</v>
      </c>
    </row>
    <row r="13" customFormat="false" ht="26.85" hidden="false" customHeight="false" outlineLevel="0" collapsed="false">
      <c r="A13" s="4" t="n">
        <v>12</v>
      </c>
      <c r="B13" s="4" t="s">
        <v>232</v>
      </c>
      <c r="C13" s="5" t="s">
        <v>787</v>
      </c>
      <c r="D13" s="5" t="s">
        <v>788</v>
      </c>
      <c r="E13" s="5" t="s">
        <v>789</v>
      </c>
    </row>
    <row r="14" customFormat="false" ht="26.85" hidden="false" customHeight="false" outlineLevel="0" collapsed="false">
      <c r="A14" s="4" t="n">
        <v>13</v>
      </c>
      <c r="B14" s="4" t="s">
        <v>232</v>
      </c>
      <c r="C14" s="5" t="s">
        <v>790</v>
      </c>
      <c r="D14" s="5" t="s">
        <v>791</v>
      </c>
      <c r="E14" s="5" t="s">
        <v>792</v>
      </c>
    </row>
    <row r="15" customFormat="false" ht="26.85" hidden="false" customHeight="false" outlineLevel="0" collapsed="false">
      <c r="A15" s="4" t="n">
        <v>14</v>
      </c>
      <c r="B15" s="4" t="s">
        <v>232</v>
      </c>
      <c r="C15" s="5" t="s">
        <v>793</v>
      </c>
      <c r="D15" s="5" t="s">
        <v>794</v>
      </c>
      <c r="E15" s="5" t="s">
        <v>795</v>
      </c>
    </row>
    <row r="16" customFormat="false" ht="26.85" hidden="false" customHeight="false" outlineLevel="0" collapsed="false">
      <c r="A16" s="4" t="n">
        <v>15</v>
      </c>
      <c r="B16" s="4" t="s">
        <v>232</v>
      </c>
      <c r="C16" s="5" t="s">
        <v>796</v>
      </c>
      <c r="D16" s="5" t="s">
        <v>797</v>
      </c>
      <c r="E16" s="5" t="s">
        <v>798</v>
      </c>
    </row>
    <row r="17" customFormat="false" ht="26.85" hidden="false" customHeight="false" outlineLevel="0" collapsed="false">
      <c r="A17" s="4" t="n">
        <v>16</v>
      </c>
      <c r="B17" s="4" t="s">
        <v>232</v>
      </c>
      <c r="C17" s="5" t="s">
        <v>799</v>
      </c>
      <c r="D17" s="5" t="s">
        <v>800</v>
      </c>
      <c r="E17" s="5" t="s">
        <v>801</v>
      </c>
    </row>
    <row r="18" customFormat="false" ht="26.85" hidden="false" customHeight="false" outlineLevel="0" collapsed="false">
      <c r="A18" s="4" t="n">
        <v>17</v>
      </c>
      <c r="B18" s="4" t="s">
        <v>392</v>
      </c>
      <c r="C18" s="5" t="s">
        <v>802</v>
      </c>
      <c r="D18" s="5" t="s">
        <v>803</v>
      </c>
      <c r="E18" s="5" t="s">
        <v>804</v>
      </c>
    </row>
    <row r="19" customFormat="false" ht="26.85" hidden="false" customHeight="false" outlineLevel="0" collapsed="false">
      <c r="A19" s="4" t="n">
        <v>18</v>
      </c>
      <c r="B19" s="4" t="s">
        <v>392</v>
      </c>
      <c r="C19" s="5" t="s">
        <v>805</v>
      </c>
      <c r="D19" s="5" t="s">
        <v>806</v>
      </c>
      <c r="E19" s="5" t="s">
        <v>807</v>
      </c>
    </row>
    <row r="20" customFormat="false" ht="26.85" hidden="false" customHeight="false" outlineLevel="0" collapsed="false">
      <c r="A20" s="4" t="n">
        <v>19</v>
      </c>
      <c r="B20" s="4" t="s">
        <v>392</v>
      </c>
      <c r="C20" s="5" t="s">
        <v>808</v>
      </c>
      <c r="D20" s="5" t="s">
        <v>809</v>
      </c>
      <c r="E20" s="5" t="s">
        <v>810</v>
      </c>
    </row>
    <row r="21" customFormat="false" ht="26.85" hidden="false" customHeight="false" outlineLevel="0" collapsed="false">
      <c r="A21" s="4" t="n">
        <v>20</v>
      </c>
      <c r="B21" s="4" t="s">
        <v>392</v>
      </c>
      <c r="C21" s="5" t="s">
        <v>811</v>
      </c>
      <c r="D21" s="5" t="s">
        <v>812</v>
      </c>
      <c r="E21" s="5" t="s">
        <v>813</v>
      </c>
    </row>
    <row r="22" customFormat="false" ht="26.85" hidden="false" customHeight="false" outlineLevel="0" collapsed="false">
      <c r="A22" s="4" t="n">
        <v>21</v>
      </c>
      <c r="B22" s="4" t="s">
        <v>392</v>
      </c>
      <c r="C22" s="5" t="s">
        <v>814</v>
      </c>
      <c r="D22" s="5" t="s">
        <v>815</v>
      </c>
      <c r="E22" s="5" t="s">
        <v>816</v>
      </c>
    </row>
    <row r="23" customFormat="false" ht="26.85" hidden="false" customHeight="false" outlineLevel="0" collapsed="false">
      <c r="A23" s="4" t="n">
        <v>22</v>
      </c>
      <c r="B23" s="4" t="s">
        <v>392</v>
      </c>
      <c r="C23" s="5" t="s">
        <v>817</v>
      </c>
      <c r="D23" s="5" t="s">
        <v>818</v>
      </c>
      <c r="E23" s="5" t="s">
        <v>819</v>
      </c>
    </row>
    <row r="24" customFormat="false" ht="26.85" hidden="false" customHeight="false" outlineLevel="0" collapsed="false">
      <c r="A24" s="4" t="n">
        <v>23</v>
      </c>
      <c r="B24" s="4" t="s">
        <v>392</v>
      </c>
      <c r="C24" s="5" t="s">
        <v>820</v>
      </c>
      <c r="D24" s="5" t="s">
        <v>821</v>
      </c>
      <c r="E24" s="5" t="s">
        <v>822</v>
      </c>
    </row>
    <row r="25" customFormat="false" ht="26.85" hidden="false" customHeight="false" outlineLevel="0" collapsed="false">
      <c r="A25" s="4" t="n">
        <v>24</v>
      </c>
      <c r="B25" s="4" t="s">
        <v>392</v>
      </c>
      <c r="C25" s="5" t="s">
        <v>823</v>
      </c>
      <c r="D25" s="5" t="s">
        <v>824</v>
      </c>
      <c r="E25" s="5" t="s">
        <v>825</v>
      </c>
    </row>
    <row r="26" customFormat="false" ht="26.85" hidden="false" customHeight="false" outlineLevel="0" collapsed="false">
      <c r="A26" s="4" t="n">
        <v>25</v>
      </c>
      <c r="B26" s="4" t="s">
        <v>392</v>
      </c>
      <c r="C26" s="5" t="s">
        <v>826</v>
      </c>
      <c r="D26" s="5" t="s">
        <v>827</v>
      </c>
      <c r="E26" s="5" t="s">
        <v>828</v>
      </c>
    </row>
    <row r="27" customFormat="false" ht="26.85" hidden="false" customHeight="false" outlineLevel="0" collapsed="false">
      <c r="A27" s="4" t="n">
        <v>26</v>
      </c>
      <c r="B27" s="4" t="s">
        <v>392</v>
      </c>
      <c r="C27" s="5" t="s">
        <v>829</v>
      </c>
      <c r="D27" s="5" t="s">
        <v>830</v>
      </c>
      <c r="E27" s="5" t="s">
        <v>831</v>
      </c>
    </row>
    <row r="28" customFormat="false" ht="39.55" hidden="false" customHeight="false" outlineLevel="0" collapsed="false">
      <c r="A28" s="4" t="n">
        <v>27</v>
      </c>
      <c r="B28" s="4" t="s">
        <v>392</v>
      </c>
      <c r="C28" s="5" t="s">
        <v>832</v>
      </c>
      <c r="D28" s="5" t="s">
        <v>833</v>
      </c>
      <c r="E28" s="5" t="s">
        <v>834</v>
      </c>
    </row>
    <row r="29" customFormat="false" ht="26.85" hidden="false" customHeight="false" outlineLevel="0" collapsed="false">
      <c r="A29" s="4" t="n">
        <v>28</v>
      </c>
      <c r="B29" s="4" t="s">
        <v>621</v>
      </c>
      <c r="C29" s="5" t="s">
        <v>835</v>
      </c>
      <c r="D29" s="5" t="s">
        <v>836</v>
      </c>
      <c r="E29" s="5" t="s">
        <v>837</v>
      </c>
    </row>
    <row r="30" customFormat="false" ht="26.85" hidden="false" customHeight="false" outlineLevel="0" collapsed="false">
      <c r="A30" s="4" t="n">
        <v>29</v>
      </c>
      <c r="B30" s="4" t="s">
        <v>621</v>
      </c>
      <c r="C30" s="5" t="s">
        <v>838</v>
      </c>
      <c r="D30" s="5" t="s">
        <v>839</v>
      </c>
      <c r="E30" s="5" t="s">
        <v>840</v>
      </c>
    </row>
    <row r="31" customFormat="false" ht="26.85" hidden="false" customHeight="false" outlineLevel="0" collapsed="false">
      <c r="A31" s="4" t="n">
        <v>30</v>
      </c>
      <c r="B31" s="4" t="s">
        <v>621</v>
      </c>
      <c r="C31" s="5" t="s">
        <v>841</v>
      </c>
      <c r="D31" s="5" t="s">
        <v>842</v>
      </c>
      <c r="E31" s="5" t="s">
        <v>843</v>
      </c>
    </row>
    <row r="32" customFormat="false" ht="26.85" hidden="false" customHeight="false" outlineLevel="0" collapsed="false">
      <c r="A32" s="4" t="n">
        <v>31</v>
      </c>
      <c r="B32" s="4" t="s">
        <v>621</v>
      </c>
      <c r="C32" s="5" t="s">
        <v>844</v>
      </c>
      <c r="D32" s="5" t="s">
        <v>845</v>
      </c>
      <c r="E32" s="5" t="s">
        <v>846</v>
      </c>
    </row>
    <row r="33" customFormat="false" ht="26.85" hidden="false" customHeight="false" outlineLevel="0" collapsed="false">
      <c r="A33" s="4" t="n">
        <v>32</v>
      </c>
      <c r="B33" s="4" t="s">
        <v>621</v>
      </c>
      <c r="C33" s="5" t="s">
        <v>847</v>
      </c>
      <c r="D33" s="5" t="s">
        <v>848</v>
      </c>
      <c r="E33" s="5" t="s">
        <v>849</v>
      </c>
    </row>
    <row r="34" customFormat="false" ht="26.85" hidden="false" customHeight="false" outlineLevel="0" collapsed="false">
      <c r="A34" s="4" t="n">
        <v>33</v>
      </c>
      <c r="B34" s="4" t="s">
        <v>621</v>
      </c>
      <c r="C34" s="5" t="s">
        <v>850</v>
      </c>
      <c r="D34" s="5" t="s">
        <v>851</v>
      </c>
      <c r="E34" s="5" t="s">
        <v>852</v>
      </c>
    </row>
    <row r="35" customFormat="false" ht="26.85" hidden="false" customHeight="false" outlineLevel="0" collapsed="false">
      <c r="A35" s="4" t="n">
        <v>34</v>
      </c>
      <c r="B35" s="4" t="s">
        <v>621</v>
      </c>
      <c r="C35" s="5" t="s">
        <v>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
    <col collapsed="false" customWidth="true" hidden="false" outlineLevel="0" max="3" min="3" style="0" width="58"/>
    <col collapsed="false" customWidth="true" hidden="false" outlineLevel="0" max="4" min="4" style="0" width="44"/>
    <col collapsed="false" customWidth="true" hidden="false" outlineLevel="0" max="5" min="5" style="0" width="26"/>
    <col collapsed="false" customWidth="true" hidden="false" outlineLevel="0" max="6" min="6" style="0" width="9"/>
    <col collapsed="false" customWidth="true" hidden="false" outlineLevel="0" max="7" min="7" style="0" width="16"/>
    <col collapsed="false" customWidth="true" hidden="false" outlineLevel="0" max="8" min="8" style="0" width="18"/>
    <col collapsed="false" customWidth="true" hidden="false" outlineLevel="0" max="9" min="9" style="0" width="11"/>
    <col collapsed="false" customWidth="true" hidden="false" outlineLevel="0" max="10" min="10" style="0" width="22"/>
    <col collapsed="false" customWidth="true" hidden="false" outlineLevel="0" max="11" min="11" style="0" width="10"/>
  </cols>
  <sheetData>
    <row r="1" customFormat="false" ht="39.55" hidden="false" customHeight="false" outlineLevel="0" collapsed="false">
      <c r="A1" s="3" t="s">
        <v>27</v>
      </c>
      <c r="B1" s="3" t="s">
        <v>26</v>
      </c>
      <c r="C1" s="3" t="s">
        <v>29</v>
      </c>
      <c r="D1" s="3" t="s">
        <v>854</v>
      </c>
      <c r="E1" s="3" t="s">
        <v>30</v>
      </c>
      <c r="F1" s="3" t="s">
        <v>855</v>
      </c>
      <c r="G1" s="3" t="s">
        <v>32</v>
      </c>
      <c r="H1" s="3" t="s">
        <v>33</v>
      </c>
      <c r="I1" s="3" t="s">
        <v>34</v>
      </c>
      <c r="J1" s="3" t="s">
        <v>35</v>
      </c>
      <c r="K1" s="3" t="s">
        <v>856</v>
      </c>
    </row>
    <row r="2" customFormat="false" ht="26.85" hidden="false" customHeight="false" outlineLevel="0" collapsed="false">
      <c r="A2" s="4" t="s">
        <v>56</v>
      </c>
      <c r="B2" s="4" t="s">
        <v>55</v>
      </c>
      <c r="C2" s="5" t="s">
        <v>58</v>
      </c>
      <c r="D2" s="5" t="s">
        <v>57</v>
      </c>
      <c r="E2" s="4" t="s">
        <v>59</v>
      </c>
      <c r="F2" s="4" t="s">
        <v>60</v>
      </c>
      <c r="G2" s="4" t="s">
        <v>61</v>
      </c>
      <c r="H2" s="4" t="s">
        <v>62</v>
      </c>
      <c r="I2" s="4" t="s">
        <v>63</v>
      </c>
      <c r="J2" s="4" t="s">
        <v>64</v>
      </c>
      <c r="K2" s="4" t="n">
        <v>1</v>
      </c>
    </row>
    <row r="3" customFormat="false" ht="26.85" hidden="false" customHeight="false" outlineLevel="0" collapsed="false">
      <c r="A3" s="4" t="s">
        <v>56</v>
      </c>
      <c r="B3" s="4" t="s">
        <v>80</v>
      </c>
      <c r="C3" s="5" t="s">
        <v>82</v>
      </c>
      <c r="D3" s="5" t="s">
        <v>81</v>
      </c>
      <c r="E3" s="4" t="s">
        <v>74</v>
      </c>
      <c r="F3" s="4" t="s">
        <v>60</v>
      </c>
      <c r="G3" s="4" t="s">
        <v>61</v>
      </c>
      <c r="H3" s="4" t="s">
        <v>83</v>
      </c>
      <c r="I3" s="4" t="s">
        <v>84</v>
      </c>
      <c r="J3" s="4" t="s">
        <v>75</v>
      </c>
      <c r="K3" s="4" t="n">
        <v>3</v>
      </c>
    </row>
    <row r="4" customFormat="false" ht="26.85" hidden="false" customHeight="false" outlineLevel="0" collapsed="false">
      <c r="A4" s="4" t="s">
        <v>56</v>
      </c>
      <c r="B4" s="4" t="s">
        <v>97</v>
      </c>
      <c r="C4" s="5" t="s">
        <v>99</v>
      </c>
      <c r="D4" s="5" t="s">
        <v>98</v>
      </c>
      <c r="E4" s="4" t="s">
        <v>59</v>
      </c>
      <c r="F4" s="4" t="s">
        <v>100</v>
      </c>
      <c r="G4" s="4" t="s">
        <v>80</v>
      </c>
      <c r="H4" s="4" t="s">
        <v>83</v>
      </c>
      <c r="I4" s="4" t="s">
        <v>84</v>
      </c>
      <c r="J4" s="4" t="s">
        <v>75</v>
      </c>
      <c r="K4" s="4" t="n">
        <v>5</v>
      </c>
    </row>
    <row r="5" customFormat="false" ht="26.85" hidden="false" customHeight="false" outlineLevel="0" collapsed="false">
      <c r="A5" s="4" t="s">
        <v>56</v>
      </c>
      <c r="B5" s="4" t="s">
        <v>111</v>
      </c>
      <c r="C5" s="5" t="s">
        <v>113</v>
      </c>
      <c r="D5" s="5" t="s">
        <v>112</v>
      </c>
      <c r="E5" s="4" t="s">
        <v>74</v>
      </c>
      <c r="F5" s="4" t="s">
        <v>92</v>
      </c>
      <c r="G5" s="4" t="s">
        <v>80</v>
      </c>
      <c r="H5" s="4" t="s">
        <v>83</v>
      </c>
      <c r="I5" s="4" t="s">
        <v>84</v>
      </c>
      <c r="J5" s="4" t="s">
        <v>64</v>
      </c>
      <c r="K5" s="4" t="n">
        <v>7</v>
      </c>
    </row>
    <row r="6" customFormat="false" ht="26.85" hidden="false" customHeight="false" outlineLevel="0" collapsed="false">
      <c r="A6" s="4" t="s">
        <v>56</v>
      </c>
      <c r="B6" s="4" t="s">
        <v>125</v>
      </c>
      <c r="C6" s="5" t="s">
        <v>127</v>
      </c>
      <c r="D6" s="5" t="s">
        <v>126</v>
      </c>
      <c r="E6" s="4" t="s">
        <v>74</v>
      </c>
      <c r="F6" s="4" t="s">
        <v>60</v>
      </c>
      <c r="G6" s="4" t="s">
        <v>55</v>
      </c>
      <c r="H6" s="4" t="s">
        <v>62</v>
      </c>
      <c r="I6" s="4" t="s">
        <v>84</v>
      </c>
      <c r="J6" s="4" t="s">
        <v>75</v>
      </c>
      <c r="K6" s="4" t="n">
        <v>9</v>
      </c>
    </row>
    <row r="7" customFormat="false" ht="26.85" hidden="false" customHeight="false" outlineLevel="0" collapsed="false">
      <c r="A7" s="4" t="s">
        <v>56</v>
      </c>
      <c r="B7" s="4" t="s">
        <v>139</v>
      </c>
      <c r="C7" s="5" t="s">
        <v>141</v>
      </c>
      <c r="D7" s="5" t="s">
        <v>140</v>
      </c>
      <c r="E7" s="4" t="s">
        <v>59</v>
      </c>
      <c r="F7" s="4" t="s">
        <v>100</v>
      </c>
      <c r="G7" s="4" t="s">
        <v>55</v>
      </c>
      <c r="H7" s="4" t="s">
        <v>62</v>
      </c>
      <c r="I7" s="4" t="s">
        <v>63</v>
      </c>
      <c r="J7" s="4" t="s">
        <v>75</v>
      </c>
      <c r="K7" s="4" t="n">
        <v>11</v>
      </c>
    </row>
    <row r="8" customFormat="false" ht="26.85" hidden="false" customHeight="false" outlineLevel="0" collapsed="false">
      <c r="A8" s="4" t="s">
        <v>56</v>
      </c>
      <c r="B8" s="4" t="s">
        <v>152</v>
      </c>
      <c r="C8" s="5" t="s">
        <v>154</v>
      </c>
      <c r="D8" s="5" t="s">
        <v>153</v>
      </c>
      <c r="E8" s="4" t="s">
        <v>59</v>
      </c>
      <c r="F8" s="4" t="s">
        <v>60</v>
      </c>
      <c r="G8" s="4" t="s">
        <v>61</v>
      </c>
      <c r="H8" s="4" t="s">
        <v>83</v>
      </c>
      <c r="I8" s="4" t="s">
        <v>84</v>
      </c>
      <c r="J8" s="4" t="s">
        <v>75</v>
      </c>
      <c r="K8" s="4" t="n">
        <v>13</v>
      </c>
    </row>
    <row r="9" customFormat="false" ht="26.85" hidden="false" customHeight="false" outlineLevel="0" collapsed="false">
      <c r="A9" s="4" t="s">
        <v>56</v>
      </c>
      <c r="B9" s="4" t="s">
        <v>166</v>
      </c>
      <c r="C9" s="5" t="s">
        <v>168</v>
      </c>
      <c r="D9" s="5" t="s">
        <v>167</v>
      </c>
      <c r="E9" s="4" t="s">
        <v>74</v>
      </c>
      <c r="F9" s="4" t="s">
        <v>60</v>
      </c>
      <c r="G9" s="4" t="s">
        <v>152</v>
      </c>
      <c r="H9" s="4" t="s">
        <v>62</v>
      </c>
      <c r="I9" s="4" t="s">
        <v>63</v>
      </c>
      <c r="J9" s="4" t="s">
        <v>75</v>
      </c>
      <c r="K9" s="4" t="n">
        <v>15</v>
      </c>
    </row>
    <row r="10" customFormat="false" ht="26.85" hidden="false" customHeight="false" outlineLevel="0" collapsed="false">
      <c r="A10" s="4" t="s">
        <v>56</v>
      </c>
      <c r="B10" s="4" t="s">
        <v>180</v>
      </c>
      <c r="C10" s="5" t="s">
        <v>182</v>
      </c>
      <c r="D10" s="5" t="s">
        <v>181</v>
      </c>
      <c r="E10" s="4" t="s">
        <v>74</v>
      </c>
      <c r="F10" s="4" t="s">
        <v>92</v>
      </c>
      <c r="G10" s="4" t="s">
        <v>166</v>
      </c>
      <c r="H10" s="4" t="s">
        <v>62</v>
      </c>
      <c r="I10" s="4" t="s">
        <v>84</v>
      </c>
      <c r="J10" s="4" t="s">
        <v>75</v>
      </c>
      <c r="K10" s="4" t="n">
        <v>17</v>
      </c>
    </row>
    <row r="11" customFormat="false" ht="26.85" hidden="false" customHeight="false" outlineLevel="0" collapsed="false">
      <c r="A11" s="4" t="s">
        <v>56</v>
      </c>
      <c r="B11" s="4" t="s">
        <v>193</v>
      </c>
      <c r="C11" s="5" t="s">
        <v>195</v>
      </c>
      <c r="D11" s="5" t="s">
        <v>194</v>
      </c>
      <c r="E11" s="4" t="s">
        <v>59</v>
      </c>
      <c r="F11" s="4" t="s">
        <v>100</v>
      </c>
      <c r="G11" s="4" t="s">
        <v>166</v>
      </c>
      <c r="H11" s="4" t="s">
        <v>83</v>
      </c>
      <c r="I11" s="4" t="s">
        <v>84</v>
      </c>
      <c r="J11" s="4" t="s">
        <v>75</v>
      </c>
      <c r="K11" s="4" t="n">
        <v>19</v>
      </c>
    </row>
    <row r="12" customFormat="false" ht="26.85" hidden="false" customHeight="false" outlineLevel="0" collapsed="false">
      <c r="A12" s="4" t="s">
        <v>56</v>
      </c>
      <c r="B12" s="4" t="s">
        <v>207</v>
      </c>
      <c r="C12" s="5" t="s">
        <v>209</v>
      </c>
      <c r="D12" s="5" t="s">
        <v>208</v>
      </c>
      <c r="E12" s="4" t="s">
        <v>74</v>
      </c>
      <c r="F12" s="4" t="s">
        <v>92</v>
      </c>
      <c r="G12" s="4" t="s">
        <v>210</v>
      </c>
      <c r="H12" s="4" t="s">
        <v>62</v>
      </c>
      <c r="I12" s="4" t="s">
        <v>84</v>
      </c>
      <c r="J12" s="4" t="s">
        <v>75</v>
      </c>
      <c r="K12" s="4" t="n">
        <v>21</v>
      </c>
    </row>
    <row r="13" customFormat="false" ht="26.85" hidden="false" customHeight="false" outlineLevel="0" collapsed="false">
      <c r="A13" s="4" t="s">
        <v>56</v>
      </c>
      <c r="B13" s="4" t="s">
        <v>218</v>
      </c>
      <c r="C13" s="5" t="s">
        <v>220</v>
      </c>
      <c r="D13" s="5" t="s">
        <v>219</v>
      </c>
      <c r="E13" s="4" t="s">
        <v>74</v>
      </c>
      <c r="F13" s="4" t="s">
        <v>60</v>
      </c>
      <c r="G13" s="4" t="s">
        <v>193</v>
      </c>
      <c r="H13" s="4" t="s">
        <v>221</v>
      </c>
      <c r="I13" s="4" t="s">
        <v>63</v>
      </c>
      <c r="J13" s="4" t="s">
        <v>75</v>
      </c>
      <c r="K13" s="4" t="n">
        <v>23</v>
      </c>
    </row>
    <row r="14" customFormat="false" ht="26.85" hidden="false" customHeight="false" outlineLevel="0" collapsed="false">
      <c r="A14" s="4" t="s">
        <v>56</v>
      </c>
      <c r="B14" s="4" t="s">
        <v>233</v>
      </c>
      <c r="C14" s="5" t="s">
        <v>235</v>
      </c>
      <c r="D14" s="5" t="s">
        <v>234</v>
      </c>
      <c r="E14" s="4" t="s">
        <v>74</v>
      </c>
      <c r="F14" s="4" t="s">
        <v>60</v>
      </c>
      <c r="G14" s="4" t="s">
        <v>152</v>
      </c>
      <c r="H14" s="4" t="s">
        <v>83</v>
      </c>
      <c r="I14" s="4" t="s">
        <v>84</v>
      </c>
      <c r="J14" s="4" t="s">
        <v>75</v>
      </c>
      <c r="K14" s="4" t="n">
        <v>25</v>
      </c>
    </row>
    <row r="15" customFormat="false" ht="26.85" hidden="false" customHeight="false" outlineLevel="0" collapsed="false">
      <c r="A15" s="4" t="s">
        <v>56</v>
      </c>
      <c r="B15" s="4" t="s">
        <v>261</v>
      </c>
      <c r="C15" s="5" t="s">
        <v>263</v>
      </c>
      <c r="D15" s="5" t="s">
        <v>262</v>
      </c>
      <c r="E15" s="4" t="s">
        <v>74</v>
      </c>
      <c r="F15" s="4" t="s">
        <v>92</v>
      </c>
      <c r="G15" s="4" t="s">
        <v>233</v>
      </c>
      <c r="H15" s="4" t="s">
        <v>83</v>
      </c>
      <c r="I15" s="4" t="s">
        <v>84</v>
      </c>
      <c r="J15" s="4" t="s">
        <v>75</v>
      </c>
      <c r="K15" s="4" t="n">
        <v>29</v>
      </c>
    </row>
    <row r="16" customFormat="false" ht="26.85" hidden="false" customHeight="false" outlineLevel="0" collapsed="false">
      <c r="A16" s="4" t="s">
        <v>56</v>
      </c>
      <c r="B16" s="4" t="s">
        <v>289</v>
      </c>
      <c r="C16" s="5" t="s">
        <v>291</v>
      </c>
      <c r="D16" s="5" t="s">
        <v>290</v>
      </c>
      <c r="E16" s="4" t="s">
        <v>59</v>
      </c>
      <c r="F16" s="4" t="s">
        <v>100</v>
      </c>
      <c r="G16" s="4" t="s">
        <v>261</v>
      </c>
      <c r="H16" s="4" t="s">
        <v>215</v>
      </c>
      <c r="I16" s="4" t="s">
        <v>292</v>
      </c>
      <c r="J16" s="4" t="s">
        <v>293</v>
      </c>
      <c r="K16" s="4" t="n">
        <v>33</v>
      </c>
    </row>
    <row r="17" customFormat="false" ht="26.85" hidden="false" customHeight="false" outlineLevel="0" collapsed="false">
      <c r="A17" s="4" t="s">
        <v>56</v>
      </c>
      <c r="B17" s="4" t="s">
        <v>284</v>
      </c>
      <c r="C17" s="5" t="s">
        <v>318</v>
      </c>
      <c r="D17" s="5" t="s">
        <v>317</v>
      </c>
      <c r="E17" s="4" t="s">
        <v>59</v>
      </c>
      <c r="F17" s="4" t="s">
        <v>100</v>
      </c>
      <c r="G17" s="4" t="s">
        <v>152</v>
      </c>
      <c r="H17" s="4" t="s">
        <v>83</v>
      </c>
      <c r="I17" s="4" t="s">
        <v>84</v>
      </c>
      <c r="J17" s="4" t="s">
        <v>75</v>
      </c>
      <c r="K17" s="4" t="n">
        <v>37</v>
      </c>
    </row>
    <row r="18" customFormat="false" ht="26.85" hidden="false" customHeight="false" outlineLevel="0" collapsed="false">
      <c r="A18" s="4" t="s">
        <v>56</v>
      </c>
      <c r="B18" s="4" t="s">
        <v>343</v>
      </c>
      <c r="C18" s="5" t="s">
        <v>345</v>
      </c>
      <c r="D18" s="5" t="s">
        <v>344</v>
      </c>
      <c r="E18" s="4" t="s">
        <v>74</v>
      </c>
      <c r="F18" s="4" t="s">
        <v>92</v>
      </c>
      <c r="G18" s="4" t="s">
        <v>284</v>
      </c>
      <c r="H18" s="4" t="s">
        <v>62</v>
      </c>
      <c r="I18" s="4" t="s">
        <v>63</v>
      </c>
      <c r="J18" s="4" t="s">
        <v>75</v>
      </c>
      <c r="K18" s="4" t="n">
        <v>41</v>
      </c>
    </row>
    <row r="19" customFormat="false" ht="26.85" hidden="false" customHeight="false" outlineLevel="0" collapsed="false">
      <c r="A19" s="4" t="s">
        <v>56</v>
      </c>
      <c r="B19" s="4" t="s">
        <v>367</v>
      </c>
      <c r="C19" s="5" t="s">
        <v>369</v>
      </c>
      <c r="D19" s="5" t="s">
        <v>368</v>
      </c>
      <c r="E19" s="4" t="s">
        <v>59</v>
      </c>
      <c r="F19" s="4" t="s">
        <v>100</v>
      </c>
      <c r="G19" s="4" t="s">
        <v>284</v>
      </c>
      <c r="H19" s="4" t="s">
        <v>62</v>
      </c>
      <c r="I19" s="4" t="s">
        <v>63</v>
      </c>
      <c r="J19" s="4" t="s">
        <v>75</v>
      </c>
      <c r="K19" s="4" t="n">
        <v>45</v>
      </c>
    </row>
    <row r="20" customFormat="false" ht="26.85" hidden="false" customHeight="false" outlineLevel="0" collapsed="false">
      <c r="A20" s="4" t="s">
        <v>56</v>
      </c>
      <c r="B20" s="4" t="s">
        <v>393</v>
      </c>
      <c r="C20" s="5" t="s">
        <v>395</v>
      </c>
      <c r="D20" s="5" t="s">
        <v>394</v>
      </c>
      <c r="E20" s="4" t="s">
        <v>74</v>
      </c>
      <c r="F20" s="4" t="s">
        <v>60</v>
      </c>
      <c r="G20" s="4" t="s">
        <v>284</v>
      </c>
      <c r="H20" s="4" t="s">
        <v>215</v>
      </c>
      <c r="I20" s="4" t="s">
        <v>63</v>
      </c>
      <c r="J20" s="4" t="s">
        <v>293</v>
      </c>
      <c r="K20" s="4" t="n">
        <v>49</v>
      </c>
    </row>
    <row r="21" customFormat="false" ht="26.85" hidden="false" customHeight="false" outlineLevel="0" collapsed="false">
      <c r="A21" s="4" t="s">
        <v>56</v>
      </c>
      <c r="B21" s="4" t="s">
        <v>454</v>
      </c>
      <c r="C21" s="5" t="s">
        <v>456</v>
      </c>
      <c r="D21" s="5" t="s">
        <v>455</v>
      </c>
      <c r="E21" s="4" t="s">
        <v>59</v>
      </c>
      <c r="F21" s="4" t="s">
        <v>100</v>
      </c>
      <c r="G21" s="4" t="s">
        <v>80</v>
      </c>
      <c r="H21" s="4" t="s">
        <v>62</v>
      </c>
      <c r="I21" s="4" t="s">
        <v>63</v>
      </c>
      <c r="J21" s="4" t="s">
        <v>75</v>
      </c>
      <c r="K21" s="4" t="n">
        <v>57</v>
      </c>
    </row>
    <row r="22" customFormat="false" ht="26.85" hidden="false" customHeight="false" outlineLevel="0" collapsed="false">
      <c r="A22" s="4" t="s">
        <v>56</v>
      </c>
      <c r="B22" s="4" t="s">
        <v>460</v>
      </c>
      <c r="C22" s="5" t="s">
        <v>462</v>
      </c>
      <c r="D22" s="5" t="s">
        <v>461</v>
      </c>
      <c r="E22" s="4" t="s">
        <v>74</v>
      </c>
      <c r="F22" s="4" t="s">
        <v>92</v>
      </c>
      <c r="G22" s="4" t="s">
        <v>454</v>
      </c>
      <c r="H22" s="4" t="s">
        <v>62</v>
      </c>
      <c r="I22" s="4" t="s">
        <v>84</v>
      </c>
      <c r="J22" s="4" t="s">
        <v>75</v>
      </c>
      <c r="K22" s="4" t="n">
        <v>58</v>
      </c>
    </row>
    <row r="23" customFormat="false" ht="26.85" hidden="false" customHeight="false" outlineLevel="0" collapsed="false">
      <c r="A23" s="4" t="s">
        <v>56</v>
      </c>
      <c r="B23" s="4" t="s">
        <v>502</v>
      </c>
      <c r="C23" s="5" t="s">
        <v>504</v>
      </c>
      <c r="D23" s="5" t="s">
        <v>503</v>
      </c>
      <c r="E23" s="4" t="s">
        <v>74</v>
      </c>
      <c r="F23" s="4" t="s">
        <v>60</v>
      </c>
      <c r="G23" s="4" t="s">
        <v>460</v>
      </c>
      <c r="H23" s="4" t="s">
        <v>62</v>
      </c>
      <c r="I23" s="4" t="s">
        <v>63</v>
      </c>
      <c r="J23" s="4" t="s">
        <v>75</v>
      </c>
      <c r="K23" s="4" t="n">
        <v>64</v>
      </c>
    </row>
    <row r="24" customFormat="false" ht="26.85" hidden="false" customHeight="false" outlineLevel="0" collapsed="false">
      <c r="A24" s="4" t="s">
        <v>56</v>
      </c>
      <c r="B24" s="4" t="s">
        <v>509</v>
      </c>
      <c r="C24" s="5" t="s">
        <v>511</v>
      </c>
      <c r="D24" s="5" t="s">
        <v>510</v>
      </c>
      <c r="E24" s="4" t="s">
        <v>59</v>
      </c>
      <c r="F24" s="4" t="s">
        <v>60</v>
      </c>
      <c r="G24" s="4" t="s">
        <v>460</v>
      </c>
      <c r="H24" s="4" t="s">
        <v>62</v>
      </c>
      <c r="I24" s="4" t="s">
        <v>84</v>
      </c>
      <c r="J24" s="4" t="s">
        <v>75</v>
      </c>
      <c r="K24" s="4" t="n">
        <v>65</v>
      </c>
    </row>
    <row r="25" customFormat="false" ht="26.85" hidden="false" customHeight="false" outlineLevel="0" collapsed="false">
      <c r="A25" s="4" t="s">
        <v>56</v>
      </c>
      <c r="B25" s="4" t="s">
        <v>543</v>
      </c>
      <c r="C25" s="5" t="s">
        <v>545</v>
      </c>
      <c r="D25" s="5" t="s">
        <v>544</v>
      </c>
      <c r="E25" s="4" t="s">
        <v>74</v>
      </c>
      <c r="F25" s="4" t="s">
        <v>60</v>
      </c>
      <c r="G25" s="4" t="s">
        <v>502</v>
      </c>
      <c r="H25" s="4" t="s">
        <v>62</v>
      </c>
      <c r="I25" s="4" t="s">
        <v>84</v>
      </c>
      <c r="J25" s="4" t="s">
        <v>75</v>
      </c>
      <c r="K25" s="4" t="n">
        <v>71</v>
      </c>
    </row>
    <row r="26" customFormat="false" ht="26.85" hidden="false" customHeight="false" outlineLevel="0" collapsed="false">
      <c r="A26" s="4" t="s">
        <v>56</v>
      </c>
      <c r="B26" s="4" t="s">
        <v>549</v>
      </c>
      <c r="C26" s="5" t="s">
        <v>551</v>
      </c>
      <c r="D26" s="5" t="s">
        <v>550</v>
      </c>
      <c r="E26" s="4" t="s">
        <v>59</v>
      </c>
      <c r="F26" s="4" t="s">
        <v>60</v>
      </c>
      <c r="G26" s="4" t="s">
        <v>543</v>
      </c>
      <c r="H26" s="4" t="s">
        <v>215</v>
      </c>
      <c r="I26" s="4" t="s">
        <v>84</v>
      </c>
      <c r="J26" s="4" t="s">
        <v>75</v>
      </c>
      <c r="K26" s="4" t="n">
        <v>72</v>
      </c>
    </row>
    <row r="27" customFormat="false" ht="26.85" hidden="false" customHeight="false" outlineLevel="0" collapsed="false">
      <c r="A27" s="4" t="s">
        <v>56</v>
      </c>
      <c r="B27" s="4" t="s">
        <v>615</v>
      </c>
      <c r="C27" s="5" t="s">
        <v>617</v>
      </c>
      <c r="D27" s="5" t="s">
        <v>616</v>
      </c>
      <c r="E27" s="4" t="s">
        <v>74</v>
      </c>
      <c r="F27" s="4" t="s">
        <v>60</v>
      </c>
      <c r="G27" s="4" t="s">
        <v>502</v>
      </c>
      <c r="H27" s="4" t="s">
        <v>62</v>
      </c>
      <c r="I27" s="4" t="s">
        <v>63</v>
      </c>
      <c r="J27" s="4" t="s">
        <v>75</v>
      </c>
      <c r="K27" s="4" t="n">
        <v>81</v>
      </c>
    </row>
    <row r="28" customFormat="false" ht="26.85" hidden="false" customHeight="false" outlineLevel="0" collapsed="false">
      <c r="A28" s="4" t="s">
        <v>56</v>
      </c>
      <c r="B28" s="4" t="s">
        <v>622</v>
      </c>
      <c r="C28" s="5" t="s">
        <v>624</v>
      </c>
      <c r="D28" s="5" t="s">
        <v>623</v>
      </c>
      <c r="E28" s="4" t="s">
        <v>74</v>
      </c>
      <c r="F28" s="4" t="s">
        <v>92</v>
      </c>
      <c r="G28" s="4" t="s">
        <v>625</v>
      </c>
      <c r="H28" s="4" t="s">
        <v>62</v>
      </c>
      <c r="I28" s="4" t="s">
        <v>84</v>
      </c>
      <c r="J28" s="4" t="s">
        <v>75</v>
      </c>
      <c r="K28" s="4" t="n">
        <v>82</v>
      </c>
    </row>
    <row r="29" customFormat="false" ht="26.85" hidden="false" customHeight="false" outlineLevel="0" collapsed="false">
      <c r="A29" s="4" t="s">
        <v>56</v>
      </c>
      <c r="B29" s="4" t="s">
        <v>654</v>
      </c>
      <c r="C29" s="5" t="s">
        <v>656</v>
      </c>
      <c r="D29" s="5" t="s">
        <v>655</v>
      </c>
      <c r="E29" s="4" t="s">
        <v>74</v>
      </c>
      <c r="F29" s="4" t="s">
        <v>92</v>
      </c>
      <c r="G29" s="4" t="s">
        <v>657</v>
      </c>
      <c r="H29" s="4" t="s">
        <v>62</v>
      </c>
      <c r="I29" s="4" t="s">
        <v>84</v>
      </c>
      <c r="J29" s="4" t="s">
        <v>64</v>
      </c>
      <c r="K29" s="4" t="n">
        <v>87</v>
      </c>
    </row>
    <row r="30" customFormat="false" ht="26.85" hidden="false" customHeight="false" outlineLevel="0" collapsed="false">
      <c r="A30" s="4" t="s">
        <v>247</v>
      </c>
      <c r="B30" s="4" t="s">
        <v>246</v>
      </c>
      <c r="C30" s="5" t="s">
        <v>249</v>
      </c>
      <c r="D30" s="5" t="s">
        <v>248</v>
      </c>
      <c r="E30" s="4" t="s">
        <v>74</v>
      </c>
      <c r="F30" s="4" t="s">
        <v>100</v>
      </c>
      <c r="G30" s="4" t="s">
        <v>152</v>
      </c>
      <c r="H30" s="4" t="s">
        <v>83</v>
      </c>
      <c r="I30" s="4" t="s">
        <v>84</v>
      </c>
      <c r="J30" s="4" t="s">
        <v>64</v>
      </c>
      <c r="K30" s="4" t="n">
        <v>27</v>
      </c>
    </row>
    <row r="31" customFormat="false" ht="26.85" hidden="false" customHeight="false" outlineLevel="0" collapsed="false">
      <c r="A31" s="4" t="s">
        <v>247</v>
      </c>
      <c r="B31" s="4" t="s">
        <v>274</v>
      </c>
      <c r="C31" s="5" t="s">
        <v>276</v>
      </c>
      <c r="D31" s="5" t="s">
        <v>275</v>
      </c>
      <c r="E31" s="4" t="s">
        <v>59</v>
      </c>
      <c r="F31" s="4" t="s">
        <v>60</v>
      </c>
      <c r="G31" s="4" t="s">
        <v>261</v>
      </c>
      <c r="H31" s="4" t="s">
        <v>62</v>
      </c>
      <c r="I31" s="4" t="s">
        <v>84</v>
      </c>
      <c r="J31" s="4" t="s">
        <v>64</v>
      </c>
      <c r="K31" s="4" t="n">
        <v>31</v>
      </c>
    </row>
    <row r="32" customFormat="false" ht="26.85" hidden="false" customHeight="false" outlineLevel="0" collapsed="false">
      <c r="A32" s="4" t="s">
        <v>247</v>
      </c>
      <c r="B32" s="4" t="s">
        <v>302</v>
      </c>
      <c r="C32" s="5" t="s">
        <v>304</v>
      </c>
      <c r="D32" s="5" t="s">
        <v>303</v>
      </c>
      <c r="E32" s="4" t="s">
        <v>59</v>
      </c>
      <c r="F32" s="4" t="s">
        <v>60</v>
      </c>
      <c r="G32" s="4" t="s">
        <v>274</v>
      </c>
      <c r="H32" s="4" t="s">
        <v>215</v>
      </c>
      <c r="I32" s="4" t="s">
        <v>84</v>
      </c>
      <c r="J32" s="4" t="s">
        <v>64</v>
      </c>
      <c r="K32" s="4" t="n">
        <v>35</v>
      </c>
    </row>
    <row r="33" customFormat="false" ht="26.85" hidden="false" customHeight="false" outlineLevel="0" collapsed="false">
      <c r="A33" s="4" t="s">
        <v>247</v>
      </c>
      <c r="B33" s="4" t="s">
        <v>329</v>
      </c>
      <c r="C33" s="5" t="s">
        <v>331</v>
      </c>
      <c r="D33" s="5" t="s">
        <v>330</v>
      </c>
      <c r="E33" s="4" t="s">
        <v>74</v>
      </c>
      <c r="F33" s="4" t="s">
        <v>92</v>
      </c>
      <c r="G33" s="4" t="s">
        <v>261</v>
      </c>
      <c r="H33" s="4" t="s">
        <v>62</v>
      </c>
      <c r="I33" s="4" t="s">
        <v>84</v>
      </c>
      <c r="J33" s="4" t="s">
        <v>75</v>
      </c>
      <c r="K33" s="4" t="n">
        <v>39</v>
      </c>
    </row>
    <row r="34" customFormat="false" ht="26.85" hidden="false" customHeight="false" outlineLevel="0" collapsed="false">
      <c r="A34" s="4" t="s">
        <v>247</v>
      </c>
      <c r="B34" s="4" t="s">
        <v>353</v>
      </c>
      <c r="C34" s="5" t="s">
        <v>355</v>
      </c>
      <c r="D34" s="5" t="s">
        <v>354</v>
      </c>
      <c r="E34" s="4" t="s">
        <v>59</v>
      </c>
      <c r="F34" s="4" t="s">
        <v>100</v>
      </c>
      <c r="G34" s="4" t="s">
        <v>329</v>
      </c>
      <c r="H34" s="4" t="s">
        <v>221</v>
      </c>
      <c r="I34" s="4" t="s">
        <v>84</v>
      </c>
      <c r="J34" s="4" t="s">
        <v>64</v>
      </c>
      <c r="K34" s="4" t="n">
        <v>43</v>
      </c>
    </row>
    <row r="35" customFormat="false" ht="26.85" hidden="false" customHeight="false" outlineLevel="0" collapsed="false">
      <c r="A35" s="4" t="s">
        <v>247</v>
      </c>
      <c r="B35" s="4" t="s">
        <v>378</v>
      </c>
      <c r="C35" s="5" t="s">
        <v>380</v>
      </c>
      <c r="D35" s="5" t="s">
        <v>379</v>
      </c>
      <c r="E35" s="4" t="s">
        <v>74</v>
      </c>
      <c r="F35" s="4" t="s">
        <v>60</v>
      </c>
      <c r="G35" s="4" t="s">
        <v>329</v>
      </c>
      <c r="H35" s="4" t="s">
        <v>62</v>
      </c>
      <c r="I35" s="4" t="s">
        <v>84</v>
      </c>
      <c r="J35" s="4" t="s">
        <v>64</v>
      </c>
      <c r="K35" s="4" t="n">
        <v>47</v>
      </c>
    </row>
    <row r="36" customFormat="false" ht="26.85" hidden="false" customHeight="false" outlineLevel="0" collapsed="false">
      <c r="A36" s="4" t="s">
        <v>247</v>
      </c>
      <c r="B36" s="4" t="s">
        <v>405</v>
      </c>
      <c r="C36" s="5" t="s">
        <v>407</v>
      </c>
      <c r="D36" s="5" t="s">
        <v>406</v>
      </c>
      <c r="E36" s="4" t="s">
        <v>74</v>
      </c>
      <c r="F36" s="4" t="s">
        <v>60</v>
      </c>
      <c r="G36" s="4" t="s">
        <v>329</v>
      </c>
      <c r="H36" s="4" t="s">
        <v>221</v>
      </c>
      <c r="I36" s="4" t="s">
        <v>84</v>
      </c>
      <c r="J36" s="4" t="s">
        <v>75</v>
      </c>
      <c r="K36" s="4" t="n">
        <v>51</v>
      </c>
    </row>
    <row r="37" customFormat="false" ht="26.85" hidden="false" customHeight="false" outlineLevel="0" collapsed="false">
      <c r="A37" s="4" t="s">
        <v>247</v>
      </c>
      <c r="B37" s="4" t="s">
        <v>474</v>
      </c>
      <c r="C37" s="5" t="s">
        <v>476</v>
      </c>
      <c r="D37" s="5" t="s">
        <v>475</v>
      </c>
      <c r="E37" s="4" t="s">
        <v>59</v>
      </c>
      <c r="F37" s="4" t="s">
        <v>60</v>
      </c>
      <c r="G37" s="4" t="s">
        <v>405</v>
      </c>
      <c r="H37" s="4" t="s">
        <v>221</v>
      </c>
      <c r="I37" s="4" t="s">
        <v>84</v>
      </c>
      <c r="J37" s="4" t="s">
        <v>75</v>
      </c>
      <c r="K37" s="4" t="n">
        <v>60</v>
      </c>
    </row>
    <row r="38" customFormat="false" ht="26.85" hidden="false" customHeight="false" outlineLevel="0" collapsed="false">
      <c r="A38" s="4" t="s">
        <v>247</v>
      </c>
      <c r="B38" s="4" t="s">
        <v>434</v>
      </c>
      <c r="C38" s="5" t="s">
        <v>522</v>
      </c>
      <c r="D38" s="5" t="s">
        <v>521</v>
      </c>
      <c r="E38" s="4" t="s">
        <v>74</v>
      </c>
      <c r="F38" s="4" t="s">
        <v>92</v>
      </c>
      <c r="G38" s="4" t="s">
        <v>329</v>
      </c>
      <c r="H38" s="4" t="s">
        <v>62</v>
      </c>
      <c r="I38" s="4" t="s">
        <v>63</v>
      </c>
      <c r="J38" s="4" t="s">
        <v>75</v>
      </c>
      <c r="K38" s="4" t="n">
        <v>67</v>
      </c>
    </row>
    <row r="39" customFormat="false" ht="39.55" hidden="false" customHeight="false" outlineLevel="0" collapsed="false">
      <c r="A39" s="4" t="s">
        <v>247</v>
      </c>
      <c r="B39" s="4" t="s">
        <v>591</v>
      </c>
      <c r="C39" s="5" t="s">
        <v>593</v>
      </c>
      <c r="D39" s="5" t="s">
        <v>592</v>
      </c>
      <c r="E39" s="4" t="s">
        <v>59</v>
      </c>
      <c r="F39" s="4" t="s">
        <v>100</v>
      </c>
      <c r="G39" s="4" t="s">
        <v>434</v>
      </c>
      <c r="H39" s="4" t="s">
        <v>83</v>
      </c>
      <c r="I39" s="4" t="s">
        <v>84</v>
      </c>
      <c r="J39" s="4" t="s">
        <v>75</v>
      </c>
      <c r="K39" s="4" t="n">
        <v>77</v>
      </c>
    </row>
    <row r="40" customFormat="false" ht="26.85" hidden="false" customHeight="false" outlineLevel="0" collapsed="false">
      <c r="A40" s="4" t="s">
        <v>247</v>
      </c>
      <c r="B40" s="4" t="s">
        <v>629</v>
      </c>
      <c r="C40" s="5" t="s">
        <v>631</v>
      </c>
      <c r="D40" s="5" t="s">
        <v>630</v>
      </c>
      <c r="E40" s="4" t="s">
        <v>59</v>
      </c>
      <c r="F40" s="4" t="s">
        <v>632</v>
      </c>
      <c r="G40" s="4" t="s">
        <v>591</v>
      </c>
      <c r="H40" s="4" t="s">
        <v>221</v>
      </c>
      <c r="I40" s="4" t="s">
        <v>84</v>
      </c>
      <c r="J40" s="4" t="s">
        <v>75</v>
      </c>
      <c r="K40" s="4" t="n">
        <v>83</v>
      </c>
    </row>
    <row r="41" customFormat="false" ht="26.85" hidden="false" customHeight="false" outlineLevel="0" collapsed="false">
      <c r="A41" s="4" t="s">
        <v>247</v>
      </c>
      <c r="B41" s="4" t="s">
        <v>669</v>
      </c>
      <c r="C41" s="5" t="s">
        <v>671</v>
      </c>
      <c r="D41" s="5" t="s">
        <v>670</v>
      </c>
      <c r="E41" s="4" t="s">
        <v>74</v>
      </c>
      <c r="F41" s="4" t="s">
        <v>100</v>
      </c>
      <c r="G41" s="4" t="s">
        <v>434</v>
      </c>
      <c r="H41" s="4" t="s">
        <v>62</v>
      </c>
      <c r="I41" s="4" t="s">
        <v>84</v>
      </c>
      <c r="J41" s="4" t="s">
        <v>75</v>
      </c>
      <c r="K41" s="4" t="n">
        <v>89</v>
      </c>
    </row>
    <row r="42" customFormat="false" ht="26.85" hidden="false" customHeight="false" outlineLevel="0" collapsed="false">
      <c r="A42" s="4" t="s">
        <v>254</v>
      </c>
      <c r="B42" s="4" t="s">
        <v>253</v>
      </c>
      <c r="C42" s="5" t="s">
        <v>256</v>
      </c>
      <c r="D42" s="5" t="s">
        <v>255</v>
      </c>
      <c r="E42" s="4" t="s">
        <v>59</v>
      </c>
      <c r="F42" s="4" t="s">
        <v>60</v>
      </c>
      <c r="G42" s="4" t="s">
        <v>61</v>
      </c>
      <c r="H42" s="4" t="s">
        <v>83</v>
      </c>
      <c r="I42" s="4" t="s">
        <v>84</v>
      </c>
      <c r="J42" s="4" t="s">
        <v>75</v>
      </c>
      <c r="K42" s="4" t="n">
        <v>28</v>
      </c>
    </row>
    <row r="43" customFormat="false" ht="26.85" hidden="false" customHeight="false" outlineLevel="0" collapsed="false">
      <c r="A43" s="4" t="s">
        <v>254</v>
      </c>
      <c r="B43" s="4" t="s">
        <v>281</v>
      </c>
      <c r="C43" s="5" t="s">
        <v>283</v>
      </c>
      <c r="D43" s="5" t="s">
        <v>282</v>
      </c>
      <c r="E43" s="4" t="s">
        <v>74</v>
      </c>
      <c r="F43" s="4" t="s">
        <v>92</v>
      </c>
      <c r="G43" s="4" t="s">
        <v>284</v>
      </c>
      <c r="H43" s="4" t="s">
        <v>62</v>
      </c>
      <c r="I43" s="4" t="s">
        <v>63</v>
      </c>
      <c r="J43" s="4" t="s">
        <v>64</v>
      </c>
      <c r="K43" s="4" t="n">
        <v>32</v>
      </c>
    </row>
    <row r="44" customFormat="false" ht="26.85" hidden="false" customHeight="false" outlineLevel="0" collapsed="false">
      <c r="A44" s="4" t="s">
        <v>254</v>
      </c>
      <c r="B44" s="4" t="s">
        <v>309</v>
      </c>
      <c r="C44" s="5" t="s">
        <v>311</v>
      </c>
      <c r="D44" s="5" t="s">
        <v>310</v>
      </c>
      <c r="E44" s="4" t="s">
        <v>74</v>
      </c>
      <c r="F44" s="4" t="s">
        <v>92</v>
      </c>
      <c r="G44" s="4" t="s">
        <v>281</v>
      </c>
      <c r="H44" s="4" t="s">
        <v>312</v>
      </c>
      <c r="I44" s="4" t="s">
        <v>63</v>
      </c>
      <c r="J44" s="4" t="s">
        <v>64</v>
      </c>
      <c r="K44" s="4" t="n">
        <v>36</v>
      </c>
    </row>
    <row r="45" customFormat="false" ht="26.85" hidden="false" customHeight="false" outlineLevel="0" collapsed="false">
      <c r="A45" s="4" t="s">
        <v>254</v>
      </c>
      <c r="B45" s="4" t="s">
        <v>336</v>
      </c>
      <c r="C45" s="5" t="s">
        <v>338</v>
      </c>
      <c r="D45" s="5" t="s">
        <v>337</v>
      </c>
      <c r="E45" s="4" t="s">
        <v>59</v>
      </c>
      <c r="F45" s="4" t="s">
        <v>92</v>
      </c>
      <c r="G45" s="4" t="s">
        <v>281</v>
      </c>
      <c r="H45" s="4" t="s">
        <v>62</v>
      </c>
      <c r="I45" s="4" t="s">
        <v>84</v>
      </c>
      <c r="J45" s="4" t="s">
        <v>64</v>
      </c>
      <c r="K45" s="4" t="n">
        <v>40</v>
      </c>
    </row>
    <row r="46" customFormat="false" ht="26.85" hidden="false" customHeight="false" outlineLevel="0" collapsed="false">
      <c r="A46" s="4" t="s">
        <v>254</v>
      </c>
      <c r="B46" s="4" t="s">
        <v>360</v>
      </c>
      <c r="C46" s="5" t="s">
        <v>362</v>
      </c>
      <c r="D46" s="5" t="s">
        <v>361</v>
      </c>
      <c r="E46" s="4" t="s">
        <v>74</v>
      </c>
      <c r="F46" s="4" t="s">
        <v>60</v>
      </c>
      <c r="G46" s="4" t="s">
        <v>336</v>
      </c>
      <c r="H46" s="4" t="s">
        <v>215</v>
      </c>
      <c r="I46" s="4" t="s">
        <v>63</v>
      </c>
      <c r="J46" s="4" t="s">
        <v>64</v>
      </c>
      <c r="K46" s="4" t="n">
        <v>44</v>
      </c>
    </row>
    <row r="47" customFormat="false" ht="26.85" hidden="false" customHeight="false" outlineLevel="0" collapsed="false">
      <c r="A47" s="4" t="s">
        <v>254</v>
      </c>
      <c r="B47" s="4" t="s">
        <v>385</v>
      </c>
      <c r="C47" s="5" t="s">
        <v>387</v>
      </c>
      <c r="D47" s="5" t="s">
        <v>386</v>
      </c>
      <c r="E47" s="4" t="s">
        <v>74</v>
      </c>
      <c r="F47" s="4" t="s">
        <v>92</v>
      </c>
      <c r="G47" s="4" t="s">
        <v>336</v>
      </c>
      <c r="H47" s="4" t="s">
        <v>62</v>
      </c>
      <c r="I47" s="4" t="s">
        <v>84</v>
      </c>
      <c r="J47" s="4" t="s">
        <v>64</v>
      </c>
      <c r="K47" s="4" t="n">
        <v>48</v>
      </c>
    </row>
    <row r="48" customFormat="false" ht="26.85" hidden="false" customHeight="false" outlineLevel="0" collapsed="false">
      <c r="A48" s="4" t="s">
        <v>254</v>
      </c>
      <c r="B48" s="4" t="s">
        <v>412</v>
      </c>
      <c r="C48" s="5" t="s">
        <v>414</v>
      </c>
      <c r="D48" s="5" t="s">
        <v>413</v>
      </c>
      <c r="E48" s="4" t="s">
        <v>59</v>
      </c>
      <c r="F48" s="4" t="s">
        <v>92</v>
      </c>
      <c r="G48" s="4" t="s">
        <v>385</v>
      </c>
      <c r="H48" s="4" t="s">
        <v>228</v>
      </c>
      <c r="I48" s="4" t="s">
        <v>84</v>
      </c>
      <c r="J48" s="4" t="s">
        <v>64</v>
      </c>
      <c r="K48" s="4" t="n">
        <v>52</v>
      </c>
    </row>
    <row r="49" customFormat="false" ht="26.85" hidden="false" customHeight="false" outlineLevel="0" collapsed="false">
      <c r="A49" s="4" t="s">
        <v>254</v>
      </c>
      <c r="B49" s="4" t="s">
        <v>419</v>
      </c>
      <c r="C49" s="5" t="s">
        <v>421</v>
      </c>
      <c r="D49" s="5" t="s">
        <v>420</v>
      </c>
      <c r="E49" s="4" t="s">
        <v>422</v>
      </c>
      <c r="F49" s="4" t="s">
        <v>423</v>
      </c>
      <c r="G49" s="4" t="s">
        <v>424</v>
      </c>
      <c r="H49" s="4" t="s">
        <v>62</v>
      </c>
      <c r="I49" s="4" t="s">
        <v>84</v>
      </c>
      <c r="J49" s="4" t="s">
        <v>425</v>
      </c>
      <c r="K49" s="4" t="n">
        <v>53</v>
      </c>
    </row>
    <row r="50" customFormat="false" ht="26.85" hidden="false" customHeight="false" outlineLevel="0" collapsed="false">
      <c r="A50" s="4" t="s">
        <v>71</v>
      </c>
      <c r="B50" s="4" t="s">
        <v>70</v>
      </c>
      <c r="C50" s="5" t="s">
        <v>73</v>
      </c>
      <c r="D50" s="5" t="s">
        <v>72</v>
      </c>
      <c r="E50" s="4" t="s">
        <v>74</v>
      </c>
      <c r="F50" s="4" t="s">
        <v>60</v>
      </c>
      <c r="G50" s="4" t="s">
        <v>55</v>
      </c>
      <c r="H50" s="4" t="s">
        <v>62</v>
      </c>
      <c r="I50" s="4" t="s">
        <v>63</v>
      </c>
      <c r="J50" s="4" t="s">
        <v>75</v>
      </c>
      <c r="K50" s="4" t="n">
        <v>2</v>
      </c>
    </row>
    <row r="51" customFormat="false" ht="26.85" hidden="false" customHeight="false" outlineLevel="0" collapsed="false">
      <c r="A51" s="4" t="s">
        <v>71</v>
      </c>
      <c r="B51" s="4" t="s">
        <v>89</v>
      </c>
      <c r="C51" s="5" t="s">
        <v>91</v>
      </c>
      <c r="D51" s="5" t="s">
        <v>90</v>
      </c>
      <c r="E51" s="4" t="s">
        <v>74</v>
      </c>
      <c r="F51" s="4" t="s">
        <v>92</v>
      </c>
      <c r="G51" s="4" t="s">
        <v>70</v>
      </c>
      <c r="H51" s="4" t="s">
        <v>62</v>
      </c>
      <c r="I51" s="4" t="s">
        <v>63</v>
      </c>
      <c r="J51" s="4" t="s">
        <v>75</v>
      </c>
      <c r="K51" s="4" t="n">
        <v>4</v>
      </c>
    </row>
    <row r="52" customFormat="false" ht="26.85" hidden="false" customHeight="false" outlineLevel="0" collapsed="false">
      <c r="A52" s="4" t="s">
        <v>71</v>
      </c>
      <c r="B52" s="4" t="s">
        <v>105</v>
      </c>
      <c r="C52" s="5" t="s">
        <v>107</v>
      </c>
      <c r="D52" s="5" t="s">
        <v>106</v>
      </c>
      <c r="E52" s="4" t="s">
        <v>74</v>
      </c>
      <c r="F52" s="4" t="s">
        <v>92</v>
      </c>
      <c r="G52" s="4" t="s">
        <v>108</v>
      </c>
      <c r="H52" s="4" t="s">
        <v>62</v>
      </c>
      <c r="I52" s="4" t="s">
        <v>63</v>
      </c>
      <c r="J52" s="4" t="s">
        <v>75</v>
      </c>
      <c r="K52" s="4" t="n">
        <v>6</v>
      </c>
    </row>
    <row r="53" customFormat="false" ht="26.85" hidden="false" customHeight="false" outlineLevel="0" collapsed="false">
      <c r="A53" s="4" t="s">
        <v>71</v>
      </c>
      <c r="B53" s="4" t="s">
        <v>118</v>
      </c>
      <c r="C53" s="5" t="s">
        <v>120</v>
      </c>
      <c r="D53" s="5" t="s">
        <v>119</v>
      </c>
      <c r="E53" s="4" t="s">
        <v>59</v>
      </c>
      <c r="F53" s="4" t="s">
        <v>60</v>
      </c>
      <c r="G53" s="4" t="s">
        <v>89</v>
      </c>
      <c r="H53" s="4" t="s">
        <v>62</v>
      </c>
      <c r="I53" s="4" t="s">
        <v>63</v>
      </c>
      <c r="J53" s="4" t="s">
        <v>75</v>
      </c>
      <c r="K53" s="4" t="n">
        <v>8</v>
      </c>
    </row>
    <row r="54" customFormat="false" ht="26.85" hidden="false" customHeight="false" outlineLevel="0" collapsed="false">
      <c r="A54" s="4" t="s">
        <v>71</v>
      </c>
      <c r="B54" s="4" t="s">
        <v>132</v>
      </c>
      <c r="C54" s="5" t="s">
        <v>134</v>
      </c>
      <c r="D54" s="5" t="s">
        <v>133</v>
      </c>
      <c r="E54" s="4" t="s">
        <v>74</v>
      </c>
      <c r="F54" s="4" t="s">
        <v>92</v>
      </c>
      <c r="G54" s="4" t="s">
        <v>118</v>
      </c>
      <c r="H54" s="4" t="s">
        <v>62</v>
      </c>
      <c r="I54" s="4" t="s">
        <v>84</v>
      </c>
      <c r="J54" s="4" t="s">
        <v>64</v>
      </c>
      <c r="K54" s="4" t="n">
        <v>10</v>
      </c>
    </row>
    <row r="55" customFormat="false" ht="26.85" hidden="false" customHeight="false" outlineLevel="0" collapsed="false">
      <c r="A55" s="4" t="s">
        <v>71</v>
      </c>
      <c r="B55" s="4" t="s">
        <v>145</v>
      </c>
      <c r="C55" s="5" t="s">
        <v>147</v>
      </c>
      <c r="D55" s="5" t="s">
        <v>146</v>
      </c>
      <c r="E55" s="4" t="s">
        <v>59</v>
      </c>
      <c r="F55" s="4" t="s">
        <v>60</v>
      </c>
      <c r="G55" s="4" t="s">
        <v>118</v>
      </c>
      <c r="H55" s="4" t="s">
        <v>83</v>
      </c>
      <c r="I55" s="4" t="s">
        <v>84</v>
      </c>
      <c r="J55" s="4" t="s">
        <v>75</v>
      </c>
      <c r="K55" s="4" t="n">
        <v>12</v>
      </c>
    </row>
    <row r="56" customFormat="false" ht="26.85" hidden="false" customHeight="false" outlineLevel="0" collapsed="false">
      <c r="A56" s="4" t="s">
        <v>71</v>
      </c>
      <c r="B56" s="4" t="s">
        <v>159</v>
      </c>
      <c r="C56" s="5" t="s">
        <v>161</v>
      </c>
      <c r="D56" s="5" t="s">
        <v>160</v>
      </c>
      <c r="E56" s="4" t="s">
        <v>74</v>
      </c>
      <c r="F56" s="4" t="s">
        <v>92</v>
      </c>
      <c r="G56" s="4" t="s">
        <v>145</v>
      </c>
      <c r="H56" s="4" t="s">
        <v>62</v>
      </c>
      <c r="I56" s="4" t="s">
        <v>63</v>
      </c>
      <c r="J56" s="4" t="s">
        <v>75</v>
      </c>
      <c r="K56" s="4" t="n">
        <v>14</v>
      </c>
    </row>
    <row r="57" customFormat="false" ht="26.85" hidden="false" customHeight="false" outlineLevel="0" collapsed="false">
      <c r="A57" s="4" t="s">
        <v>71</v>
      </c>
      <c r="B57" s="4" t="s">
        <v>173</v>
      </c>
      <c r="C57" s="5" t="s">
        <v>175</v>
      </c>
      <c r="D57" s="5" t="s">
        <v>174</v>
      </c>
      <c r="E57" s="4" t="s">
        <v>74</v>
      </c>
      <c r="F57" s="4" t="s">
        <v>60</v>
      </c>
      <c r="G57" s="4" t="s">
        <v>176</v>
      </c>
      <c r="H57" s="4" t="s">
        <v>62</v>
      </c>
      <c r="I57" s="4" t="s">
        <v>84</v>
      </c>
      <c r="J57" s="4" t="s">
        <v>75</v>
      </c>
      <c r="K57" s="4" t="n">
        <v>16</v>
      </c>
    </row>
    <row r="58" customFormat="false" ht="26.85" hidden="false" customHeight="false" outlineLevel="0" collapsed="false">
      <c r="A58" s="4" t="s">
        <v>71</v>
      </c>
      <c r="B58" s="4" t="s">
        <v>186</v>
      </c>
      <c r="C58" s="5" t="s">
        <v>188</v>
      </c>
      <c r="D58" s="5" t="s">
        <v>187</v>
      </c>
      <c r="E58" s="4" t="s">
        <v>59</v>
      </c>
      <c r="F58" s="4" t="s">
        <v>60</v>
      </c>
      <c r="G58" s="4" t="s">
        <v>89</v>
      </c>
      <c r="H58" s="4" t="s">
        <v>62</v>
      </c>
      <c r="I58" s="4" t="s">
        <v>63</v>
      </c>
      <c r="J58" s="4" t="s">
        <v>75</v>
      </c>
      <c r="K58" s="4" t="n">
        <v>18</v>
      </c>
    </row>
    <row r="59" customFormat="false" ht="26.85" hidden="false" customHeight="false" outlineLevel="0" collapsed="false">
      <c r="A59" s="4" t="s">
        <v>71</v>
      </c>
      <c r="B59" s="4" t="s">
        <v>200</v>
      </c>
      <c r="C59" s="5" t="s">
        <v>202</v>
      </c>
      <c r="D59" s="5" t="s">
        <v>201</v>
      </c>
      <c r="E59" s="4" t="s">
        <v>74</v>
      </c>
      <c r="F59" s="4" t="s">
        <v>60</v>
      </c>
      <c r="G59" s="4" t="s">
        <v>186</v>
      </c>
      <c r="H59" s="4" t="s">
        <v>62</v>
      </c>
      <c r="I59" s="4" t="s">
        <v>84</v>
      </c>
      <c r="J59" s="4" t="s">
        <v>75</v>
      </c>
      <c r="K59" s="4" t="n">
        <v>20</v>
      </c>
    </row>
    <row r="60" customFormat="false" ht="26.85" hidden="false" customHeight="false" outlineLevel="0" collapsed="false">
      <c r="A60" s="4" t="s">
        <v>71</v>
      </c>
      <c r="B60" s="4" t="s">
        <v>211</v>
      </c>
      <c r="C60" s="5" t="s">
        <v>213</v>
      </c>
      <c r="D60" s="5" t="s">
        <v>212</v>
      </c>
      <c r="E60" s="4" t="s">
        <v>74</v>
      </c>
      <c r="F60" s="4" t="s">
        <v>92</v>
      </c>
      <c r="G60" s="4" t="s">
        <v>214</v>
      </c>
      <c r="H60" s="4" t="s">
        <v>215</v>
      </c>
      <c r="I60" s="4" t="s">
        <v>84</v>
      </c>
      <c r="J60" s="4" t="s">
        <v>75</v>
      </c>
      <c r="K60" s="4" t="n">
        <v>22</v>
      </c>
    </row>
    <row r="61" customFormat="false" ht="26.85" hidden="false" customHeight="false" outlineLevel="0" collapsed="false">
      <c r="A61" s="4" t="s">
        <v>71</v>
      </c>
      <c r="B61" s="4" t="s">
        <v>225</v>
      </c>
      <c r="C61" s="5" t="s">
        <v>227</v>
      </c>
      <c r="D61" s="5" t="s">
        <v>226</v>
      </c>
      <c r="E61" s="4" t="s">
        <v>74</v>
      </c>
      <c r="F61" s="4" t="s">
        <v>60</v>
      </c>
      <c r="G61" s="4" t="s">
        <v>211</v>
      </c>
      <c r="H61" s="4" t="s">
        <v>228</v>
      </c>
      <c r="I61" s="4" t="s">
        <v>84</v>
      </c>
      <c r="J61" s="4" t="s">
        <v>75</v>
      </c>
      <c r="K61" s="4" t="n">
        <v>24</v>
      </c>
    </row>
    <row r="62" customFormat="false" ht="26.85" hidden="false" customHeight="false" outlineLevel="0" collapsed="false">
      <c r="A62" s="4" t="s">
        <v>71</v>
      </c>
      <c r="B62" s="4" t="s">
        <v>240</v>
      </c>
      <c r="C62" s="5" t="s">
        <v>242</v>
      </c>
      <c r="D62" s="5" t="s">
        <v>241</v>
      </c>
      <c r="E62" s="4" t="s">
        <v>59</v>
      </c>
      <c r="F62" s="4" t="s">
        <v>60</v>
      </c>
      <c r="G62" s="4" t="s">
        <v>186</v>
      </c>
      <c r="H62" s="4" t="s">
        <v>83</v>
      </c>
      <c r="I62" s="4" t="s">
        <v>84</v>
      </c>
      <c r="J62" s="4" t="s">
        <v>75</v>
      </c>
      <c r="K62" s="4" t="n">
        <v>26</v>
      </c>
    </row>
    <row r="63" customFormat="false" ht="26.85" hidden="false" customHeight="false" outlineLevel="0" collapsed="false">
      <c r="A63" s="4" t="s">
        <v>71</v>
      </c>
      <c r="B63" s="4" t="s">
        <v>268</v>
      </c>
      <c r="C63" s="5" t="s">
        <v>270</v>
      </c>
      <c r="D63" s="5" t="s">
        <v>269</v>
      </c>
      <c r="E63" s="4" t="s">
        <v>74</v>
      </c>
      <c r="F63" s="4" t="s">
        <v>60</v>
      </c>
      <c r="G63" s="4" t="s">
        <v>240</v>
      </c>
      <c r="H63" s="4" t="s">
        <v>62</v>
      </c>
      <c r="I63" s="4" t="s">
        <v>63</v>
      </c>
      <c r="J63" s="4" t="s">
        <v>75</v>
      </c>
      <c r="K63" s="4" t="n">
        <v>30</v>
      </c>
    </row>
    <row r="64" customFormat="false" ht="26.85" hidden="false" customHeight="false" outlineLevel="0" collapsed="false">
      <c r="A64" s="4" t="s">
        <v>71</v>
      </c>
      <c r="B64" s="4" t="s">
        <v>298</v>
      </c>
      <c r="C64" s="5" t="s">
        <v>300</v>
      </c>
      <c r="D64" s="5" t="s">
        <v>299</v>
      </c>
      <c r="E64" s="4" t="s">
        <v>59</v>
      </c>
      <c r="F64" s="4" t="s">
        <v>60</v>
      </c>
      <c r="G64" s="4" t="s">
        <v>240</v>
      </c>
      <c r="H64" s="4" t="s">
        <v>301</v>
      </c>
      <c r="I64" s="4" t="s">
        <v>63</v>
      </c>
      <c r="J64" s="4" t="s">
        <v>75</v>
      </c>
      <c r="K64" s="4" t="n">
        <v>34</v>
      </c>
    </row>
    <row r="65" customFormat="false" ht="26.85" hidden="false" customHeight="false" outlineLevel="0" collapsed="false">
      <c r="A65" s="4" t="s">
        <v>71</v>
      </c>
      <c r="B65" s="4" t="s">
        <v>323</v>
      </c>
      <c r="C65" s="5" t="s">
        <v>325</v>
      </c>
      <c r="D65" s="5" t="s">
        <v>324</v>
      </c>
      <c r="E65" s="4" t="s">
        <v>74</v>
      </c>
      <c r="F65" s="4" t="s">
        <v>92</v>
      </c>
      <c r="G65" s="4" t="s">
        <v>240</v>
      </c>
      <c r="H65" s="4" t="s">
        <v>228</v>
      </c>
      <c r="I65" s="4" t="s">
        <v>84</v>
      </c>
      <c r="J65" s="4" t="s">
        <v>75</v>
      </c>
      <c r="K65" s="4" t="n">
        <v>38</v>
      </c>
    </row>
    <row r="66" customFormat="false" ht="26.85" hidden="false" customHeight="false" outlineLevel="0" collapsed="false">
      <c r="A66" s="4" t="s">
        <v>71</v>
      </c>
      <c r="B66" s="4" t="s">
        <v>346</v>
      </c>
      <c r="C66" s="5" t="s">
        <v>348</v>
      </c>
      <c r="D66" s="5" t="s">
        <v>347</v>
      </c>
      <c r="E66" s="4" t="s">
        <v>59</v>
      </c>
      <c r="F66" s="4" t="s">
        <v>60</v>
      </c>
      <c r="G66" s="4" t="s">
        <v>349</v>
      </c>
      <c r="H66" s="4" t="s">
        <v>228</v>
      </c>
      <c r="I66" s="4" t="s">
        <v>63</v>
      </c>
      <c r="J66" s="4" t="s">
        <v>75</v>
      </c>
      <c r="K66" s="4" t="n">
        <v>42</v>
      </c>
    </row>
    <row r="67" customFormat="false" ht="26.85" hidden="false" customHeight="false" outlineLevel="0" collapsed="false">
      <c r="A67" s="4" t="s">
        <v>71</v>
      </c>
      <c r="B67" s="4" t="s">
        <v>374</v>
      </c>
      <c r="C67" s="5" t="s">
        <v>376</v>
      </c>
      <c r="D67" s="5" t="s">
        <v>375</v>
      </c>
      <c r="E67" s="4" t="s">
        <v>74</v>
      </c>
      <c r="F67" s="4" t="s">
        <v>377</v>
      </c>
      <c r="G67" s="4" t="s">
        <v>346</v>
      </c>
      <c r="H67" s="4" t="s">
        <v>228</v>
      </c>
      <c r="I67" s="4" t="s">
        <v>84</v>
      </c>
      <c r="J67" s="4" t="s">
        <v>64</v>
      </c>
      <c r="K67" s="4" t="n">
        <v>46</v>
      </c>
    </row>
    <row r="68" customFormat="false" ht="26.85" hidden="false" customHeight="false" outlineLevel="0" collapsed="false">
      <c r="A68" s="4" t="s">
        <v>71</v>
      </c>
      <c r="B68" s="4" t="s">
        <v>399</v>
      </c>
      <c r="C68" s="5" t="s">
        <v>401</v>
      </c>
      <c r="D68" s="5" t="s">
        <v>400</v>
      </c>
      <c r="E68" s="4" t="s">
        <v>59</v>
      </c>
      <c r="F68" s="4" t="s">
        <v>100</v>
      </c>
      <c r="G68" s="4" t="s">
        <v>240</v>
      </c>
      <c r="H68" s="4" t="s">
        <v>301</v>
      </c>
      <c r="I68" s="4" t="s">
        <v>63</v>
      </c>
      <c r="J68" s="4" t="s">
        <v>75</v>
      </c>
      <c r="K68" s="4" t="n">
        <v>50</v>
      </c>
    </row>
    <row r="69" customFormat="false" ht="26.85" hidden="false" customHeight="false" outlineLevel="0" collapsed="false">
      <c r="A69" s="4" t="s">
        <v>71</v>
      </c>
      <c r="B69" s="4" t="s">
        <v>466</v>
      </c>
      <c r="C69" s="5" t="s">
        <v>468</v>
      </c>
      <c r="D69" s="5" t="s">
        <v>467</v>
      </c>
      <c r="E69" s="4" t="s">
        <v>59</v>
      </c>
      <c r="F69" s="4" t="s">
        <v>377</v>
      </c>
      <c r="G69" s="4" t="s">
        <v>469</v>
      </c>
      <c r="H69" s="4" t="s">
        <v>215</v>
      </c>
      <c r="I69" s="4" t="s">
        <v>84</v>
      </c>
      <c r="J69" s="4" t="s">
        <v>425</v>
      </c>
      <c r="K69" s="4" t="n">
        <v>59</v>
      </c>
    </row>
    <row r="70" customFormat="false" ht="26.85" hidden="false" customHeight="false" outlineLevel="0" collapsed="false">
      <c r="A70" s="4" t="s">
        <v>71</v>
      </c>
      <c r="B70" s="4" t="s">
        <v>484</v>
      </c>
      <c r="C70" s="5" t="s">
        <v>516</v>
      </c>
      <c r="D70" s="5" t="s">
        <v>515</v>
      </c>
      <c r="E70" s="4" t="s">
        <v>74</v>
      </c>
      <c r="F70" s="4" t="s">
        <v>92</v>
      </c>
      <c r="G70" s="4" t="s">
        <v>517</v>
      </c>
      <c r="H70" s="4" t="s">
        <v>215</v>
      </c>
      <c r="I70" s="4" t="s">
        <v>63</v>
      </c>
      <c r="J70" s="4" t="s">
        <v>64</v>
      </c>
      <c r="K70" s="4" t="n">
        <v>66</v>
      </c>
    </row>
    <row r="71" customFormat="false" ht="26.85" hidden="false" customHeight="false" outlineLevel="0" collapsed="false">
      <c r="A71" s="4" t="s">
        <v>71</v>
      </c>
      <c r="B71" s="4" t="s">
        <v>556</v>
      </c>
      <c r="C71" s="5" t="s">
        <v>558</v>
      </c>
      <c r="D71" s="5" t="s">
        <v>557</v>
      </c>
      <c r="E71" s="4" t="s">
        <v>59</v>
      </c>
      <c r="F71" s="4" t="s">
        <v>60</v>
      </c>
      <c r="G71" s="4" t="s">
        <v>484</v>
      </c>
      <c r="H71" s="4" t="s">
        <v>215</v>
      </c>
      <c r="I71" s="4" t="s">
        <v>63</v>
      </c>
      <c r="J71" s="4" t="s">
        <v>64</v>
      </c>
      <c r="K71" s="4" t="n">
        <v>73</v>
      </c>
    </row>
    <row r="72" customFormat="false" ht="26.85" hidden="false" customHeight="false" outlineLevel="0" collapsed="false">
      <c r="A72" s="4" t="s">
        <v>71</v>
      </c>
      <c r="B72" s="4" t="s">
        <v>563</v>
      </c>
      <c r="C72" s="5" t="s">
        <v>565</v>
      </c>
      <c r="D72" s="5" t="s">
        <v>564</v>
      </c>
      <c r="E72" s="4" t="s">
        <v>422</v>
      </c>
      <c r="F72" s="4" t="s">
        <v>566</v>
      </c>
      <c r="G72" s="4" t="s">
        <v>567</v>
      </c>
      <c r="H72" s="4" t="s">
        <v>62</v>
      </c>
      <c r="I72" s="4" t="s">
        <v>292</v>
      </c>
      <c r="J72" s="4" t="s">
        <v>293</v>
      </c>
      <c r="K72" s="4" t="n">
        <v>74</v>
      </c>
    </row>
    <row r="73" customFormat="false" ht="26.85" hidden="false" customHeight="false" outlineLevel="0" collapsed="false">
      <c r="A73" s="4" t="s">
        <v>71</v>
      </c>
      <c r="B73" s="4" t="s">
        <v>572</v>
      </c>
      <c r="C73" s="5" t="s">
        <v>574</v>
      </c>
      <c r="D73" s="5" t="s">
        <v>573</v>
      </c>
      <c r="E73" s="4" t="s">
        <v>422</v>
      </c>
      <c r="F73" s="4" t="s">
        <v>566</v>
      </c>
      <c r="G73" s="4" t="s">
        <v>575</v>
      </c>
      <c r="H73" s="4" t="s">
        <v>62</v>
      </c>
      <c r="I73" s="4" t="s">
        <v>63</v>
      </c>
      <c r="J73" s="4" t="s">
        <v>64</v>
      </c>
      <c r="K73" s="4" t="n">
        <v>75</v>
      </c>
    </row>
    <row r="74" customFormat="false" ht="26.85" hidden="false" customHeight="false" outlineLevel="0" collapsed="false">
      <c r="A74" s="4" t="s">
        <v>431</v>
      </c>
      <c r="B74" s="4" t="s">
        <v>430</v>
      </c>
      <c r="C74" s="5" t="s">
        <v>433</v>
      </c>
      <c r="D74" s="5" t="s">
        <v>432</v>
      </c>
      <c r="E74" s="4" t="s">
        <v>74</v>
      </c>
      <c r="F74" s="4" t="s">
        <v>60</v>
      </c>
      <c r="G74" s="4" t="s">
        <v>434</v>
      </c>
      <c r="H74" s="4" t="s">
        <v>83</v>
      </c>
      <c r="I74" s="4" t="s">
        <v>84</v>
      </c>
      <c r="J74" s="4" t="s">
        <v>75</v>
      </c>
      <c r="K74" s="4" t="n">
        <v>54</v>
      </c>
    </row>
    <row r="75" customFormat="false" ht="26.85" hidden="false" customHeight="false" outlineLevel="0" collapsed="false">
      <c r="A75" s="4" t="s">
        <v>431</v>
      </c>
      <c r="B75" s="4" t="s">
        <v>481</v>
      </c>
      <c r="C75" s="5" t="s">
        <v>483</v>
      </c>
      <c r="D75" s="5" t="s">
        <v>482</v>
      </c>
      <c r="E75" s="4" t="s">
        <v>59</v>
      </c>
      <c r="F75" s="4" t="s">
        <v>100</v>
      </c>
      <c r="G75" s="4" t="s">
        <v>484</v>
      </c>
      <c r="H75" s="4" t="s">
        <v>221</v>
      </c>
      <c r="I75" s="4" t="s">
        <v>63</v>
      </c>
      <c r="J75" s="4" t="s">
        <v>75</v>
      </c>
      <c r="K75" s="4" t="n">
        <v>61</v>
      </c>
    </row>
    <row r="76" customFormat="false" ht="26.85" hidden="false" customHeight="false" outlineLevel="0" collapsed="false">
      <c r="A76" s="4" t="s">
        <v>431</v>
      </c>
      <c r="B76" s="4" t="s">
        <v>527</v>
      </c>
      <c r="C76" s="5" t="s">
        <v>529</v>
      </c>
      <c r="D76" s="5" t="s">
        <v>528</v>
      </c>
      <c r="E76" s="4" t="s">
        <v>74</v>
      </c>
      <c r="F76" s="4" t="s">
        <v>60</v>
      </c>
      <c r="G76" s="4" t="s">
        <v>61</v>
      </c>
      <c r="H76" s="4" t="s">
        <v>83</v>
      </c>
      <c r="I76" s="4" t="s">
        <v>63</v>
      </c>
      <c r="J76" s="4" t="s">
        <v>75</v>
      </c>
      <c r="K76" s="4" t="n">
        <v>68</v>
      </c>
    </row>
    <row r="77" customFormat="false" ht="26.85" hidden="false" customHeight="false" outlineLevel="0" collapsed="false">
      <c r="A77" s="4" t="s">
        <v>431</v>
      </c>
      <c r="B77" s="4" t="s">
        <v>597</v>
      </c>
      <c r="C77" s="5" t="s">
        <v>599</v>
      </c>
      <c r="D77" s="5" t="s">
        <v>598</v>
      </c>
      <c r="E77" s="4" t="s">
        <v>74</v>
      </c>
      <c r="F77" s="4" t="s">
        <v>60</v>
      </c>
      <c r="G77" s="4" t="s">
        <v>527</v>
      </c>
      <c r="H77" s="4" t="s">
        <v>83</v>
      </c>
      <c r="I77" s="4" t="s">
        <v>63</v>
      </c>
      <c r="J77" s="4" t="s">
        <v>75</v>
      </c>
      <c r="K77" s="4" t="n">
        <v>78</v>
      </c>
    </row>
    <row r="78" customFormat="false" ht="26.85" hidden="false" customHeight="false" outlineLevel="0" collapsed="false">
      <c r="A78" s="4" t="s">
        <v>431</v>
      </c>
      <c r="B78" s="4" t="s">
        <v>636</v>
      </c>
      <c r="C78" s="5" t="s">
        <v>638</v>
      </c>
      <c r="D78" s="5" t="s">
        <v>637</v>
      </c>
      <c r="E78" s="4" t="s">
        <v>74</v>
      </c>
      <c r="F78" s="4" t="s">
        <v>60</v>
      </c>
      <c r="G78" s="4" t="s">
        <v>591</v>
      </c>
      <c r="H78" s="4" t="s">
        <v>62</v>
      </c>
      <c r="I78" s="4" t="s">
        <v>84</v>
      </c>
      <c r="J78" s="4" t="s">
        <v>75</v>
      </c>
      <c r="K78" s="4" t="n">
        <v>84</v>
      </c>
    </row>
    <row r="79" customFormat="false" ht="26.85" hidden="false" customHeight="false" outlineLevel="0" collapsed="false">
      <c r="A79" s="4" t="s">
        <v>431</v>
      </c>
      <c r="B79" s="4" t="s">
        <v>690</v>
      </c>
      <c r="C79" s="5" t="s">
        <v>692</v>
      </c>
      <c r="D79" s="5" t="s">
        <v>691</v>
      </c>
      <c r="E79" s="4" t="s">
        <v>59</v>
      </c>
      <c r="F79" s="4" t="s">
        <v>60</v>
      </c>
      <c r="G79" s="4" t="s">
        <v>636</v>
      </c>
      <c r="H79" s="4" t="s">
        <v>221</v>
      </c>
      <c r="I79" s="4" t="s">
        <v>84</v>
      </c>
      <c r="J79" s="4" t="s">
        <v>75</v>
      </c>
      <c r="K79" s="4" t="n">
        <v>92</v>
      </c>
    </row>
    <row r="80" customFormat="false" ht="26.85" hidden="false" customHeight="false" outlineLevel="0" collapsed="false">
      <c r="A80" s="4" t="s">
        <v>431</v>
      </c>
      <c r="B80" s="4" t="s">
        <v>712</v>
      </c>
      <c r="C80" s="5" t="s">
        <v>714</v>
      </c>
      <c r="D80" s="5" t="s">
        <v>713</v>
      </c>
      <c r="E80" s="4" t="s">
        <v>74</v>
      </c>
      <c r="F80" s="4" t="s">
        <v>92</v>
      </c>
      <c r="G80" s="4" t="s">
        <v>636</v>
      </c>
      <c r="H80" s="4" t="s">
        <v>62</v>
      </c>
      <c r="I80" s="4" t="s">
        <v>84</v>
      </c>
      <c r="J80" s="4" t="s">
        <v>64</v>
      </c>
      <c r="K80" s="4" t="n">
        <v>95</v>
      </c>
    </row>
    <row r="81" customFormat="false" ht="26.85" hidden="false" customHeight="false" outlineLevel="0" collapsed="false">
      <c r="A81" s="4" t="s">
        <v>431</v>
      </c>
      <c r="B81" s="4" t="s">
        <v>725</v>
      </c>
      <c r="C81" s="5" t="s">
        <v>727</v>
      </c>
      <c r="D81" s="5" t="s">
        <v>726</v>
      </c>
      <c r="E81" s="4" t="s">
        <v>59</v>
      </c>
      <c r="F81" s="4" t="s">
        <v>100</v>
      </c>
      <c r="G81" s="4" t="s">
        <v>712</v>
      </c>
      <c r="H81" s="4" t="s">
        <v>221</v>
      </c>
      <c r="I81" s="4" t="s">
        <v>63</v>
      </c>
      <c r="J81" s="4" t="s">
        <v>64</v>
      </c>
      <c r="K81" s="4" t="n">
        <v>97</v>
      </c>
    </row>
    <row r="82" customFormat="false" ht="26.85" hidden="false" customHeight="false" outlineLevel="0" collapsed="false">
      <c r="A82" s="4" t="s">
        <v>440</v>
      </c>
      <c r="B82" s="4" t="s">
        <v>439</v>
      </c>
      <c r="C82" s="5" t="s">
        <v>442</v>
      </c>
      <c r="D82" s="5" t="s">
        <v>441</v>
      </c>
      <c r="E82" s="4" t="s">
        <v>74</v>
      </c>
      <c r="F82" s="4" t="s">
        <v>92</v>
      </c>
      <c r="G82" s="4" t="s">
        <v>139</v>
      </c>
      <c r="H82" s="4" t="s">
        <v>62</v>
      </c>
      <c r="I82" s="4" t="s">
        <v>84</v>
      </c>
      <c r="J82" s="4" t="s">
        <v>425</v>
      </c>
      <c r="K82" s="4" t="n">
        <v>55</v>
      </c>
    </row>
    <row r="83" customFormat="false" ht="26.85" hidden="false" customHeight="false" outlineLevel="0" collapsed="false">
      <c r="A83" s="4" t="s">
        <v>440</v>
      </c>
      <c r="B83" s="4" t="s">
        <v>488</v>
      </c>
      <c r="C83" s="5" t="s">
        <v>490</v>
      </c>
      <c r="D83" s="5" t="s">
        <v>489</v>
      </c>
      <c r="E83" s="4" t="s">
        <v>74</v>
      </c>
      <c r="F83" s="4" t="s">
        <v>377</v>
      </c>
      <c r="G83" s="4" t="s">
        <v>439</v>
      </c>
      <c r="H83" s="4" t="s">
        <v>215</v>
      </c>
      <c r="I83" s="4" t="s">
        <v>84</v>
      </c>
      <c r="J83" s="4" t="s">
        <v>64</v>
      </c>
      <c r="K83" s="4" t="n">
        <v>62</v>
      </c>
    </row>
    <row r="84" customFormat="false" ht="26.85" hidden="false" customHeight="false" outlineLevel="0" collapsed="false">
      <c r="A84" s="4" t="s">
        <v>440</v>
      </c>
      <c r="B84" s="4" t="s">
        <v>533</v>
      </c>
      <c r="C84" s="5" t="s">
        <v>535</v>
      </c>
      <c r="D84" s="5" t="s">
        <v>534</v>
      </c>
      <c r="E84" s="4" t="s">
        <v>74</v>
      </c>
      <c r="F84" s="4" t="s">
        <v>92</v>
      </c>
      <c r="G84" s="4" t="s">
        <v>488</v>
      </c>
      <c r="H84" s="4" t="s">
        <v>228</v>
      </c>
      <c r="I84" s="4" t="s">
        <v>84</v>
      </c>
      <c r="J84" s="4" t="s">
        <v>425</v>
      </c>
      <c r="K84" s="4" t="n">
        <v>69</v>
      </c>
    </row>
    <row r="85" customFormat="false" ht="26.85" hidden="false" customHeight="false" outlineLevel="0" collapsed="false">
      <c r="A85" s="4" t="s">
        <v>440</v>
      </c>
      <c r="B85" s="4" t="s">
        <v>604</v>
      </c>
      <c r="C85" s="5" t="s">
        <v>606</v>
      </c>
      <c r="D85" s="5" t="s">
        <v>605</v>
      </c>
      <c r="E85" s="4" t="s">
        <v>59</v>
      </c>
      <c r="F85" s="4" t="s">
        <v>377</v>
      </c>
      <c r="G85" s="4" t="s">
        <v>434</v>
      </c>
      <c r="H85" s="4" t="s">
        <v>62</v>
      </c>
      <c r="I85" s="4" t="s">
        <v>84</v>
      </c>
      <c r="J85" s="4" t="s">
        <v>64</v>
      </c>
      <c r="K85" s="4" t="n">
        <v>79</v>
      </c>
    </row>
    <row r="86" customFormat="false" ht="26.85" hidden="false" customHeight="false" outlineLevel="0" collapsed="false">
      <c r="A86" s="4" t="s">
        <v>440</v>
      </c>
      <c r="B86" s="4" t="s">
        <v>642</v>
      </c>
      <c r="C86" s="5" t="s">
        <v>644</v>
      </c>
      <c r="D86" s="5" t="s">
        <v>643</v>
      </c>
      <c r="E86" s="4" t="s">
        <v>74</v>
      </c>
      <c r="F86" s="4" t="s">
        <v>92</v>
      </c>
      <c r="G86" s="4" t="s">
        <v>645</v>
      </c>
      <c r="H86" s="4" t="s">
        <v>221</v>
      </c>
      <c r="I86" s="4" t="s">
        <v>84</v>
      </c>
      <c r="J86" s="4" t="s">
        <v>64</v>
      </c>
      <c r="K86" s="4" t="n">
        <v>85</v>
      </c>
    </row>
    <row r="87" customFormat="false" ht="26.85" hidden="false" customHeight="false" outlineLevel="0" collapsed="false">
      <c r="A87" s="4" t="s">
        <v>440</v>
      </c>
      <c r="B87" s="4" t="s">
        <v>697</v>
      </c>
      <c r="C87" s="5" t="s">
        <v>699</v>
      </c>
      <c r="D87" s="5" t="s">
        <v>698</v>
      </c>
      <c r="E87" s="4" t="s">
        <v>59</v>
      </c>
      <c r="F87" s="4" t="s">
        <v>92</v>
      </c>
      <c r="G87" s="4" t="s">
        <v>700</v>
      </c>
      <c r="H87" s="4" t="s">
        <v>215</v>
      </c>
      <c r="I87" s="4" t="s">
        <v>84</v>
      </c>
      <c r="J87" s="4" t="s">
        <v>64</v>
      </c>
      <c r="K87" s="4" t="n">
        <v>93</v>
      </c>
    </row>
    <row r="88" customFormat="false" ht="26.85" hidden="false" customHeight="false" outlineLevel="0" collapsed="false">
      <c r="A88" s="4" t="s">
        <v>440</v>
      </c>
      <c r="B88" s="4" t="s">
        <v>718</v>
      </c>
      <c r="C88" s="5" t="s">
        <v>720</v>
      </c>
      <c r="D88" s="5" t="s">
        <v>719</v>
      </c>
      <c r="E88" s="4" t="s">
        <v>74</v>
      </c>
      <c r="F88" s="4" t="s">
        <v>377</v>
      </c>
      <c r="G88" s="4" t="s">
        <v>721</v>
      </c>
      <c r="H88" s="4" t="s">
        <v>215</v>
      </c>
      <c r="I88" s="4" t="s">
        <v>84</v>
      </c>
      <c r="J88" s="4" t="s">
        <v>75</v>
      </c>
      <c r="K88" s="4" t="n">
        <v>96</v>
      </c>
    </row>
    <row r="89" customFormat="false" ht="26.85" hidden="false" customHeight="false" outlineLevel="0" collapsed="false">
      <c r="A89" s="4" t="s">
        <v>440</v>
      </c>
      <c r="B89" s="4" t="s">
        <v>731</v>
      </c>
      <c r="C89" s="5" t="s">
        <v>733</v>
      </c>
      <c r="D89" s="5" t="s">
        <v>732</v>
      </c>
      <c r="E89" s="4" t="s">
        <v>74</v>
      </c>
      <c r="F89" s="4" t="s">
        <v>377</v>
      </c>
      <c r="G89" s="4" t="s">
        <v>734</v>
      </c>
      <c r="H89" s="4" t="s">
        <v>215</v>
      </c>
      <c r="I89" s="4" t="s">
        <v>63</v>
      </c>
      <c r="J89" s="4" t="s">
        <v>75</v>
      </c>
      <c r="K89" s="4" t="n">
        <v>98</v>
      </c>
    </row>
    <row r="90" customFormat="false" ht="26.85" hidden="false" customHeight="false" outlineLevel="0" collapsed="false">
      <c r="A90" s="4" t="s">
        <v>440</v>
      </c>
      <c r="B90" s="4" t="s">
        <v>739</v>
      </c>
      <c r="C90" s="5" t="s">
        <v>741</v>
      </c>
      <c r="D90" s="5" t="s">
        <v>740</v>
      </c>
      <c r="E90" s="4" t="s">
        <v>59</v>
      </c>
      <c r="F90" s="4" t="s">
        <v>377</v>
      </c>
      <c r="G90" s="4" t="s">
        <v>718</v>
      </c>
      <c r="H90" s="4" t="s">
        <v>215</v>
      </c>
      <c r="I90" s="4" t="s">
        <v>84</v>
      </c>
      <c r="J90" s="4" t="s">
        <v>64</v>
      </c>
      <c r="K90" s="4" t="n">
        <v>99</v>
      </c>
    </row>
    <row r="91" customFormat="false" ht="26.85" hidden="false" customHeight="false" outlineLevel="0" collapsed="false">
      <c r="A91" s="4" t="s">
        <v>440</v>
      </c>
      <c r="B91" s="4" t="s">
        <v>746</v>
      </c>
      <c r="C91" s="5" t="s">
        <v>748</v>
      </c>
      <c r="D91" s="5" t="s">
        <v>747</v>
      </c>
      <c r="E91" s="4" t="s">
        <v>74</v>
      </c>
      <c r="F91" s="4" t="s">
        <v>377</v>
      </c>
      <c r="G91" s="4" t="s">
        <v>533</v>
      </c>
      <c r="H91" s="4" t="s">
        <v>83</v>
      </c>
      <c r="I91" s="4" t="s">
        <v>84</v>
      </c>
      <c r="J91" s="4" t="s">
        <v>75</v>
      </c>
      <c r="K91" s="4" t="n">
        <v>100</v>
      </c>
    </row>
    <row r="92" customFormat="false" ht="26.85" hidden="false" customHeight="false" outlineLevel="0" collapsed="false">
      <c r="A92" s="4" t="s">
        <v>447</v>
      </c>
      <c r="B92" s="4" t="s">
        <v>446</v>
      </c>
      <c r="C92" s="5" t="s">
        <v>449</v>
      </c>
      <c r="D92" s="5" t="s">
        <v>448</v>
      </c>
      <c r="E92" s="4" t="s">
        <v>59</v>
      </c>
      <c r="F92" s="4" t="s">
        <v>92</v>
      </c>
      <c r="G92" s="4" t="s">
        <v>55</v>
      </c>
      <c r="H92" s="4" t="s">
        <v>215</v>
      </c>
      <c r="I92" s="4" t="s">
        <v>84</v>
      </c>
      <c r="J92" s="4" t="s">
        <v>64</v>
      </c>
      <c r="K92" s="4" t="n">
        <v>56</v>
      </c>
    </row>
    <row r="93" customFormat="false" ht="26.85" hidden="false" customHeight="false" outlineLevel="0" collapsed="false">
      <c r="A93" s="4" t="s">
        <v>447</v>
      </c>
      <c r="B93" s="4" t="s">
        <v>495</v>
      </c>
      <c r="C93" s="5" t="s">
        <v>497</v>
      </c>
      <c r="D93" s="5" t="s">
        <v>496</v>
      </c>
      <c r="E93" s="4" t="s">
        <v>59</v>
      </c>
      <c r="F93" s="4" t="s">
        <v>60</v>
      </c>
      <c r="G93" s="4" t="s">
        <v>61</v>
      </c>
      <c r="H93" s="4" t="s">
        <v>215</v>
      </c>
      <c r="I93" s="4" t="s">
        <v>84</v>
      </c>
      <c r="J93" s="4" t="s">
        <v>425</v>
      </c>
      <c r="K93" s="4" t="n">
        <v>63</v>
      </c>
    </row>
    <row r="94" customFormat="false" ht="26.85" hidden="false" customHeight="false" outlineLevel="0" collapsed="false">
      <c r="A94" s="4" t="s">
        <v>447</v>
      </c>
      <c r="B94" s="4" t="s">
        <v>540</v>
      </c>
      <c r="C94" s="5" t="s">
        <v>542</v>
      </c>
      <c r="D94" s="5" t="s">
        <v>541</v>
      </c>
      <c r="E94" s="4" t="s">
        <v>59</v>
      </c>
      <c r="F94" s="4" t="s">
        <v>92</v>
      </c>
      <c r="G94" s="4" t="s">
        <v>495</v>
      </c>
      <c r="H94" s="4" t="s">
        <v>215</v>
      </c>
      <c r="I94" s="4" t="s">
        <v>84</v>
      </c>
      <c r="J94" s="4" t="s">
        <v>425</v>
      </c>
      <c r="K94" s="4" t="n">
        <v>70</v>
      </c>
    </row>
    <row r="95" customFormat="false" ht="26.85" hidden="false" customHeight="false" outlineLevel="0" collapsed="false">
      <c r="A95" s="4" t="s">
        <v>447</v>
      </c>
      <c r="B95" s="4" t="s">
        <v>609</v>
      </c>
      <c r="C95" s="5" t="s">
        <v>611</v>
      </c>
      <c r="D95" s="5" t="s">
        <v>610</v>
      </c>
      <c r="E95" s="4" t="s">
        <v>74</v>
      </c>
      <c r="F95" s="4" t="s">
        <v>377</v>
      </c>
      <c r="G95" s="4" t="s">
        <v>540</v>
      </c>
      <c r="H95" s="4" t="s">
        <v>215</v>
      </c>
      <c r="I95" s="4" t="s">
        <v>84</v>
      </c>
      <c r="J95" s="4" t="s">
        <v>75</v>
      </c>
      <c r="K95" s="4" t="n">
        <v>80</v>
      </c>
    </row>
    <row r="96" customFormat="false" ht="26.85" hidden="false" customHeight="false" outlineLevel="0" collapsed="false">
      <c r="A96" s="4" t="s">
        <v>447</v>
      </c>
      <c r="B96" s="4" t="s">
        <v>649</v>
      </c>
      <c r="C96" s="5" t="s">
        <v>651</v>
      </c>
      <c r="D96" s="5" t="s">
        <v>650</v>
      </c>
      <c r="E96" s="4" t="s">
        <v>74</v>
      </c>
      <c r="F96" s="4" t="s">
        <v>377</v>
      </c>
      <c r="G96" s="4" t="s">
        <v>609</v>
      </c>
      <c r="H96" s="4" t="s">
        <v>215</v>
      </c>
      <c r="I96" s="4" t="s">
        <v>63</v>
      </c>
      <c r="J96" s="4" t="s">
        <v>75</v>
      </c>
      <c r="K96" s="4" t="n">
        <v>86</v>
      </c>
    </row>
    <row r="97" customFormat="false" ht="26.85" hidden="false" customHeight="false" outlineLevel="0" collapsed="false">
      <c r="A97" s="4" t="s">
        <v>447</v>
      </c>
      <c r="B97" s="4" t="s">
        <v>704</v>
      </c>
      <c r="C97" s="5" t="s">
        <v>706</v>
      </c>
      <c r="D97" s="5" t="s">
        <v>705</v>
      </c>
      <c r="E97" s="4" t="s">
        <v>74</v>
      </c>
      <c r="F97" s="4" t="s">
        <v>377</v>
      </c>
      <c r="G97" s="4" t="s">
        <v>707</v>
      </c>
      <c r="H97" s="4" t="s">
        <v>215</v>
      </c>
      <c r="I97" s="4" t="s">
        <v>63</v>
      </c>
      <c r="J97" s="4" t="s">
        <v>425</v>
      </c>
      <c r="K97" s="4" t="n">
        <v>94</v>
      </c>
    </row>
    <row r="98" customFormat="false" ht="26.85" hidden="false" customHeight="false" outlineLevel="0" collapsed="false">
      <c r="A98" s="4" t="s">
        <v>581</v>
      </c>
      <c r="B98" s="4" t="s">
        <v>661</v>
      </c>
      <c r="C98" s="5" t="s">
        <v>663</v>
      </c>
      <c r="D98" s="5" t="s">
        <v>662</v>
      </c>
      <c r="E98" s="4" t="s">
        <v>422</v>
      </c>
      <c r="F98" s="4" t="s">
        <v>566</v>
      </c>
      <c r="G98" s="4" t="s">
        <v>664</v>
      </c>
      <c r="H98" s="4" t="s">
        <v>62</v>
      </c>
      <c r="I98" s="4" t="s">
        <v>84</v>
      </c>
      <c r="J98" s="4" t="s">
        <v>64</v>
      </c>
      <c r="K98" s="4" t="n">
        <v>88</v>
      </c>
    </row>
    <row r="99" customFormat="false" ht="26.85" hidden="false" customHeight="false" outlineLevel="0" collapsed="false">
      <c r="A99" s="4" t="s">
        <v>581</v>
      </c>
      <c r="B99" s="4" t="s">
        <v>676</v>
      </c>
      <c r="C99" s="5" t="s">
        <v>678</v>
      </c>
      <c r="D99" s="5" t="s">
        <v>677</v>
      </c>
      <c r="E99" s="4" t="s">
        <v>422</v>
      </c>
      <c r="F99" s="4" t="s">
        <v>423</v>
      </c>
      <c r="G99" s="4" t="s">
        <v>679</v>
      </c>
      <c r="H99" s="4" t="s">
        <v>62</v>
      </c>
      <c r="I99" s="4" t="s">
        <v>63</v>
      </c>
      <c r="J99" s="4" t="s">
        <v>64</v>
      </c>
      <c r="K99" s="4" t="n">
        <v>90</v>
      </c>
    </row>
    <row r="100" customFormat="false" ht="26.85" hidden="false" customHeight="false" outlineLevel="0" collapsed="false">
      <c r="A100" s="4" t="s">
        <v>581</v>
      </c>
      <c r="B100" s="4" t="s">
        <v>683</v>
      </c>
      <c r="C100" s="5" t="s">
        <v>684</v>
      </c>
      <c r="D100" s="5" t="s">
        <v>582</v>
      </c>
      <c r="E100" s="4" t="s">
        <v>584</v>
      </c>
      <c r="F100" s="4" t="s">
        <v>585</v>
      </c>
      <c r="G100" s="4" t="s">
        <v>685</v>
      </c>
      <c r="H100" s="4" t="s">
        <v>215</v>
      </c>
      <c r="I100" s="4" t="s">
        <v>84</v>
      </c>
      <c r="J100" s="4" t="s">
        <v>425</v>
      </c>
      <c r="K100" s="4" t="n">
        <v>91</v>
      </c>
    </row>
    <row r="101" customFormat="false" ht="26.85" hidden="false" customHeight="false" outlineLevel="0" collapsed="false">
      <c r="A101" s="4" t="s">
        <v>581</v>
      </c>
      <c r="B101" s="4" t="s">
        <v>580</v>
      </c>
      <c r="C101" s="5" t="s">
        <v>583</v>
      </c>
      <c r="D101" s="5" t="s">
        <v>582</v>
      </c>
      <c r="E101" s="4" t="s">
        <v>584</v>
      </c>
      <c r="F101" s="4" t="s">
        <v>585</v>
      </c>
      <c r="G101" s="4" t="s">
        <v>586</v>
      </c>
      <c r="H101" s="4" t="s">
        <v>215</v>
      </c>
      <c r="I101" s="4" t="s">
        <v>84</v>
      </c>
      <c r="J101" s="4" t="s">
        <v>425</v>
      </c>
      <c r="K101" s="4" t="n">
        <v>76</v>
      </c>
    </row>
  </sheetData>
  <autoFilter ref="A1:K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2"/>
    <col collapsed="false" customWidth="true" hidden="false" outlineLevel="0" max="4" min="4" style="0" width="28"/>
    <col collapsed="false" customWidth="true" hidden="false" outlineLevel="0" max="6" min="5" style="0" width="10"/>
    <col collapsed="false" customWidth="true" hidden="false" outlineLevel="0" max="7" min="7" style="0" width="2"/>
    <col collapsed="false" customWidth="true" hidden="false" outlineLevel="0" max="8" min="8" style="0" width="22"/>
    <col collapsed="false" customWidth="true" hidden="false" outlineLevel="0" max="9" min="9" style="0" width="10"/>
    <col collapsed="false" customWidth="true" hidden="false" outlineLevel="0" max="10" min="10" style="0" width="2"/>
    <col collapsed="false" customWidth="true" hidden="false" outlineLevel="0" max="11" min="11" style="0" width="30"/>
    <col collapsed="false" customWidth="true" hidden="false" outlineLevel="0" max="12" min="12" style="0" width="10"/>
  </cols>
  <sheetData>
    <row r="1" customFormat="false" ht="17.35" hidden="false" customHeight="false" outlineLevel="0" collapsed="false">
      <c r="A1" s="12" t="s">
        <v>857</v>
      </c>
    </row>
    <row r="3" customFormat="false" ht="15" hidden="false" customHeight="false" outlineLevel="0" collapsed="false">
      <c r="A3" s="13" t="s">
        <v>858</v>
      </c>
      <c r="D3" s="13" t="s">
        <v>859</v>
      </c>
      <c r="E3" s="13" t="s">
        <v>860</v>
      </c>
      <c r="F3" s="13" t="s">
        <v>861</v>
      </c>
      <c r="H3" s="13" t="s">
        <v>862</v>
      </c>
      <c r="I3" s="13" t="s">
        <v>860</v>
      </c>
      <c r="K3" s="13" t="s">
        <v>863</v>
      </c>
      <c r="L3" s="13" t="s">
        <v>860</v>
      </c>
    </row>
    <row r="4" customFormat="false" ht="15" hidden="false" customHeight="false" outlineLevel="0" collapsed="false">
      <c r="A4" s="4" t="s">
        <v>69</v>
      </c>
      <c r="B4" s="4" t="n">
        <f aca="false">COUNTIF(Backlog!$AC$2:$AC$101,A4)</f>
        <v>100</v>
      </c>
      <c r="D4" s="4" t="s">
        <v>56</v>
      </c>
      <c r="E4" s="4" t="n">
        <f aca="false">COUNTIF(Backlog!$E$2:$E$101,D4)</f>
        <v>28</v>
      </c>
      <c r="F4" s="4" t="n">
        <f aca="false">COUNTIFS(Backlog!$E$2:$E$101,D4,Backlog!$AC$2:$AC$101,"Published")</f>
        <v>0</v>
      </c>
      <c r="H4" s="4" t="s">
        <v>84</v>
      </c>
      <c r="I4" s="4" t="n">
        <f aca="false">COUNTIF(Backlog!$L$2:$L$101,H4)</f>
        <v>63</v>
      </c>
      <c r="K4" s="4" t="s">
        <v>75</v>
      </c>
      <c r="L4" s="4" t="n">
        <f aca="false">COUNTIF(Backlog!$M$2:$M$101,K4)</f>
        <v>59</v>
      </c>
    </row>
    <row r="5" customFormat="false" ht="15" hidden="false" customHeight="false" outlineLevel="0" collapsed="false">
      <c r="A5" s="4" t="s">
        <v>864</v>
      </c>
      <c r="B5" s="4" t="n">
        <f aca="false">COUNTIF(Backlog!$AC$2:$AC$101,A5)</f>
        <v>0</v>
      </c>
      <c r="D5" s="4" t="s">
        <v>247</v>
      </c>
      <c r="E5" s="4" t="n">
        <f aca="false">COUNTIF(Backlog!$E$2:$E$101,D5)</f>
        <v>12</v>
      </c>
      <c r="F5" s="4" t="n">
        <f aca="false">COUNTIFS(Backlog!$E$2:$E$101,D5,Backlog!$AC$2:$AC$101,"Published")</f>
        <v>0</v>
      </c>
      <c r="H5" s="4" t="s">
        <v>63</v>
      </c>
      <c r="I5" s="4" t="n">
        <f aca="false">COUNTIF(Backlog!$L$2:$L$101,H5)</f>
        <v>35</v>
      </c>
      <c r="K5" s="4" t="s">
        <v>64</v>
      </c>
      <c r="L5" s="4" t="n">
        <f aca="false">COUNTIF(Backlog!$M$2:$M$101,K5)</f>
        <v>29</v>
      </c>
    </row>
    <row r="6" customFormat="false" ht="15" hidden="false" customHeight="false" outlineLevel="0" collapsed="false">
      <c r="A6" s="4" t="s">
        <v>865</v>
      </c>
      <c r="B6" s="4" t="n">
        <f aca="false">COUNTIF(Backlog!$AC$2:$AC$101,A6)</f>
        <v>0</v>
      </c>
      <c r="D6" s="4" t="s">
        <v>254</v>
      </c>
      <c r="E6" s="4" t="n">
        <f aca="false">COUNTIF(Backlog!$E$2:$E$101,D6)</f>
        <v>8</v>
      </c>
      <c r="F6" s="4" t="n">
        <f aca="false">COUNTIFS(Backlog!$E$2:$E$101,D6,Backlog!$AC$2:$AC$101,"Published")</f>
        <v>0</v>
      </c>
      <c r="H6" s="4" t="s">
        <v>292</v>
      </c>
      <c r="I6" s="4" t="n">
        <f aca="false">COUNTIF(Backlog!$L$2:$L$101,H6)</f>
        <v>2</v>
      </c>
      <c r="K6" s="4" t="s">
        <v>425</v>
      </c>
      <c r="L6" s="4" t="n">
        <f aca="false">COUNTIF(Backlog!$M$2:$M$101,K6)</f>
        <v>9</v>
      </c>
    </row>
    <row r="7" customFormat="false" ht="15" hidden="false" customHeight="false" outlineLevel="0" collapsed="false">
      <c r="A7" s="4" t="s">
        <v>866</v>
      </c>
      <c r="B7" s="4" t="n">
        <f aca="false">COUNTIF(Backlog!$AC$2:$AC$101,A7)</f>
        <v>0</v>
      </c>
      <c r="D7" s="4" t="s">
        <v>71</v>
      </c>
      <c r="E7" s="4" t="n">
        <f aca="false">COUNTIF(Backlog!$E$2:$E$101,D7)</f>
        <v>24</v>
      </c>
      <c r="F7" s="4" t="n">
        <f aca="false">COUNTIFS(Backlog!$E$2:$E$101,D7,Backlog!$AC$2:$AC$101,"Published")</f>
        <v>0</v>
      </c>
      <c r="H7" s="4" t="s">
        <v>867</v>
      </c>
      <c r="I7" s="4" t="n">
        <f aca="false">COUNTIF(Backlog!$L$2:$L$101,H7)</f>
        <v>0</v>
      </c>
      <c r="K7" s="4" t="s">
        <v>293</v>
      </c>
      <c r="L7" s="4" t="n">
        <f aca="false">COUNTIF(Backlog!$M$2:$M$101,K7)</f>
        <v>3</v>
      </c>
    </row>
    <row r="8" customFormat="false" ht="15" hidden="false" customHeight="false" outlineLevel="0" collapsed="false">
      <c r="A8" s="4" t="s">
        <v>861</v>
      </c>
      <c r="B8" s="4" t="n">
        <f aca="false">COUNTIF(Backlog!$AC$2:$AC$101,A8)</f>
        <v>0</v>
      </c>
      <c r="D8" s="4" t="s">
        <v>431</v>
      </c>
      <c r="E8" s="4" t="n">
        <f aca="false">COUNTIF(Backlog!$E$2:$E$101,D8)</f>
        <v>8</v>
      </c>
      <c r="F8" s="4" t="n">
        <f aca="false">COUNTIFS(Backlog!$E$2:$E$101,D8,Backlog!$AC$2:$AC$101,"Published")</f>
        <v>0</v>
      </c>
    </row>
    <row r="9" customFormat="false" ht="15" hidden="false" customHeight="false" outlineLevel="0" collapsed="false">
      <c r="A9" s="13" t="s">
        <v>868</v>
      </c>
      <c r="B9" s="13" t="n">
        <f aca="false">SUM(B4:B8)</f>
        <v>100</v>
      </c>
      <c r="D9" s="4" t="s">
        <v>440</v>
      </c>
      <c r="E9" s="4" t="n">
        <f aca="false">COUNTIF(Backlog!$E$2:$E$101,D9)</f>
        <v>10</v>
      </c>
      <c r="F9" s="4" t="n">
        <f aca="false">COUNTIFS(Backlog!$E$2:$E$101,D9,Backlog!$AC$2:$AC$101,"Published")</f>
        <v>0</v>
      </c>
    </row>
    <row r="10" customFormat="false" ht="15" hidden="false" customHeight="false" outlineLevel="0" collapsed="false">
      <c r="D10" s="4" t="s">
        <v>447</v>
      </c>
      <c r="E10" s="4" t="n">
        <f aca="false">COUNTIF(Backlog!$E$2:$E$101,D10)</f>
        <v>6</v>
      </c>
      <c r="F10" s="4" t="n">
        <f aca="false">COUNTIFS(Backlog!$E$2:$E$101,D10,Backlog!$AC$2:$AC$101,"Published")</f>
        <v>0</v>
      </c>
    </row>
    <row r="11" customFormat="false" ht="15" hidden="false" customHeight="false" outlineLevel="0" collapsed="false">
      <c r="D11" s="4" t="s">
        <v>581</v>
      </c>
      <c r="E11" s="4" t="n">
        <f aca="false">COUNTIF(Backlog!$E$2:$E$101,D11)</f>
        <v>4</v>
      </c>
      <c r="F11" s="4" t="n">
        <f aca="false">COUNTIFS(Backlog!$E$2:$E$101,D11,Backlog!$AC$2:$AC$101,"Published")</f>
        <v>0</v>
      </c>
    </row>
    <row r="12" customFormat="false" ht="15" hidden="false" customHeight="false" outlineLevel="0" collapsed="false">
      <c r="A12" s="13" t="s">
        <v>869</v>
      </c>
    </row>
    <row r="13" customFormat="false" ht="15" hidden="false" customHeight="false" outlineLevel="0" collapsed="false">
      <c r="A13" s="4" t="str">
        <f aca="false">IFERROR(INDEX(Backlog!$D$2:$D$101,MATCH(1,Backlog!$AF$2:$AF$101,0)),"")</f>
        <v>ME-01</v>
      </c>
      <c r="B13" s="4" t="str">
        <f aca="false">IFERROR(INDEX(Backlog!$G$2:$G$101,MATCH(1,Backlog!$AF$2:$AF$101,0)),"")</f>
        <v>Vectors: components, dot and cross product in one animation</v>
      </c>
    </row>
    <row r="14" customFormat="false" ht="15" hidden="false" customHeight="false" outlineLevel="0" collapsed="false">
      <c r="A14" s="4" t="str">
        <f aca="false">IFERROR(INDEX(Backlog!$D$2:$D$101,MATCH(2,Backlog!$AF$2:$AF$101,0)),"")</f>
        <v>EM-01</v>
      </c>
      <c r="B14" s="4" t="str">
        <f aca="false">IFERROR(INDEX(Backlog!$G$2:$G$101,MATCH(2,Backlog!$AF$2:$AF$101,0)),"")</f>
        <v>Coulomb's law and superposition: solving multi-charge problems</v>
      </c>
    </row>
    <row r="15" customFormat="false" ht="15" hidden="false" customHeight="false" outlineLevel="0" collapsed="false">
      <c r="A15" s="4" t="str">
        <f aca="false">IFERROR(INDEX(Backlog!$D$2:$D$101,MATCH(3,Backlog!$AF$2:$AF$101,0)),"")</f>
        <v>ME-02</v>
      </c>
      <c r="B15" s="4" t="str">
        <f aca="false">IFERROR(INDEX(Backlog!$G$2:$G$101,MATCH(3,Backlog!$AF$2:$AF$101,0)),"")</f>
        <v>The kinematic equations: where they come from (not just how to use them)</v>
      </c>
    </row>
    <row r="16" customFormat="false" ht="15" hidden="false" customHeight="false" outlineLevel="0" collapsed="false">
      <c r="A16" s="4" t="str">
        <f aca="false">IFERROR(INDEX(Backlog!$D$2:$D$101,MATCH(4,Backlog!$AF$2:$AF$101,0)),"")</f>
        <v>EM-02</v>
      </c>
      <c r="B16" s="4" t="str">
        <f aca="false">IFERROR(INDEX(Backlog!$G$2:$G$101,MATCH(4,Backlog!$AF$2:$AF$101,0)),"")</f>
        <v>The electric field: what it is, and the field of a line and a ring of charge</v>
      </c>
    </row>
    <row r="17" customFormat="false" ht="15" hidden="false" customHeight="false" outlineLevel="0" collapsed="false">
      <c r="A17" s="4" t="str">
        <f aca="false">IFERROR(INDEX(Backlog!$D$2:$D$101,MATCH(5,Backlog!$AF$2:$AF$101,0)),"")</f>
        <v>ME-03</v>
      </c>
      <c r="B17" s="4" t="str">
        <f aca="false">IFERROR(INDEX(Backlog!$G$2:$G$101,MATCH(5,Backlog!$AF$2:$AF$101,0)),"")</f>
        <v>Free fall and the velocity-time graph, visualised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2026-10-22T23:15:42Z</dcterms:created>
  <dc:creator>openpyxl</dc:creator>
  <dc:description/>
  <dc:language>en-US</dc:language>
  <cp:lastModifiedBy/>
  <dcterms:modified xsi:type="dcterms:W3CDTF">2026-10-22T23:15:42Z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