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acklog" sheetId="2" state="visible" r:id="rId4"/>
    <sheet name="Schedule" sheetId="3" state="visible" r:id="rId5"/>
    <sheet name="By Course" sheetId="4" state="visible" r:id="rId6"/>
    <sheet name="Progress" sheetId="5" state="visible" r:id="rId7"/>
  </sheets>
  <definedNames>
    <definedName function="false" hidden="true" localSheetId="1" name="_xlnm._FilterDatabase" vbProcedure="false">Backlog!$A$1:$AD$101</definedName>
    <definedName function="false" hidden="true" localSheetId="3" name="_xlnm._FilterDatabase" vbProcedure="false">'By Course'!$A$1:$K$101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<sst xmlns="http://schemas.openxmlformats.org/spreadsheetml/2006/main" count="2715" uniqueCount="731">
  <si>
    <t xml:space="preserve">University economics: production backlog (100 videos)</t>
  </si>
  <si>
    <t xml:space="preserve">Built 2026-10-22 from open textbooks and the economics channel scan (162 channels, 23,741 videos).</t>
  </si>
  <si>
    <t xml:space="preserve">Courses and sources</t>
  </si>
  <si>
    <t xml:space="preserve">MI = Intermediate Microeconomics (30): McAfee &amp; Lewis, Introduction to Economic Analysis (CC BY-NC-SA, free PDF).</t>
  </si>
  <si>
    <t xml:space="preserve">MA = Intermediate Macroeconomics (26): Garín, Lester &amp; Sims, Intermediate Macroeconomics (free PDF from the authors).</t>
  </si>
  <si>
    <t xml:space="preserve">GT = Game Theory (14): Bonanno, Game Theory (open access, UC Davis).</t>
  </si>
  <si>
    <t xml:space="preserve">EC = Econometrics (26): Hanck et al., Introduction to Econometrics with R (CC BY-NC-SA); Huntington-Klein, The Effect (free online); Cunningham, Causal Inference: The Mixtape (free online).</t>
  </si>
  <si>
    <t xml:space="preserve">XC = cross-course format experiments (4): the full-degree compression, a 5-levels video, a history-of-an-idea video, and the IB diagrams anchor.</t>
  </si>
  <si>
    <t xml:space="preserve">Columns</t>
  </si>
  <si>
    <t xml:space="preserve">Format: Explainer (model/concept, 8-15 min) / Worked problem ("how to solve X", the format the stale incumbents own) / Anchor ("ALL of…" compression, made after the course's explainers exist).</t>
  </si>
  <si>
    <t xml:space="preserve">Exam tag: which exam audiences the topic also serves (IB, A-level, AP) so titles and descriptions can carry the board name; "University" = intermediate-level only.</t>
  </si>
  <si>
    <t xml:space="preserve">Demand signal: High = at least 3 small-channel outlier videos (or one at 5x+ its channel) on the raw test AND an age-adjusted signal; Medium = one of the two; Low = comparable videos exist but none outperform; "No comparable video" = nothing in the scan matched.</t>
  </si>
  <si>
    <t xml:space="preserve">Supply age: median age of the outlier videos on the topic. "Stale" (8y+) means the search results are a decade old; 52 of the 100 topics are in this state, which is the gap this channel fills.</t>
  </si>
  <si>
    <t xml:space="preserve">Best evidence: the video that best shows the topic pulls viewers beyond its channel. Watch it before scripting; note its length and what it leaves out.</t>
  </si>
  <si>
    <t xml:space="preserve">How the order was chosen</t>
  </si>
  <si>
    <t xml:space="preserve">Weeks 1-8 alternate intermediate micro and macro in textbook order, so two playlists grow in prerequisite order on the same Manim/Remotion pipeline as the maths channel. Weeks 9-16 rotate micro, macro, game theory and econometrics, with the micro anchor at week 10 and the macro anchor at week 13. From week 17 the order leans to econometrics and game theory (the thinnest supply), with the IB anchor at week 21. The degree-level compression comes last because it is cut from everything before it. 3 a week = 34 weeks.</t>
  </si>
  <si>
    <t xml:space="preserve">Status and Publish date (yellow) are yours to edit; the Progress tab counts them.</t>
  </si>
  <si>
    <t xml:space="preserve">Order</t>
  </si>
  <si>
    <t xml:space="preserve">Week</t>
  </si>
  <si>
    <t xml:space="preserve">Phase</t>
  </si>
  <si>
    <t xml:space="preserve">Code</t>
  </si>
  <si>
    <t xml:space="preserve">Course</t>
  </si>
  <si>
    <t xml:space="preserve">Source section (textbook)</t>
  </si>
  <si>
    <t xml:space="preserve">Working title</t>
  </si>
  <si>
    <t xml:space="preserve">Format</t>
  </si>
  <si>
    <t xml:space="preserve">Target length</t>
  </si>
  <si>
    <t xml:space="preserve">Prerequisites</t>
  </si>
  <si>
    <t xml:space="preserve">Exam tag</t>
  </si>
  <si>
    <t xml:space="preserve">Demand signal</t>
  </si>
  <si>
    <t xml:space="preserve">Supply age</t>
  </si>
  <si>
    <t xml:space="preserve">Videos found in scan</t>
  </si>
  <si>
    <t xml:space="preserve">Channels covering</t>
  </si>
  <si>
    <t xml:space="preserve">Small-ch outliers (raw)</t>
  </si>
  <si>
    <t xml:space="preserve">Small-ch outliers (age-adj)</t>
  </si>
  <si>
    <t xml:space="preserve">Best small-ch Views/Subs</t>
  </si>
  <si>
    <t xml:space="preserve">Best small-ch Views/yr/Subs</t>
  </si>
  <si>
    <t xml:space="preserve">Median outlier age (yrs)</t>
  </si>
  <si>
    <t xml:space="preserve">Best evidence: video</t>
  </si>
  <si>
    <t xml:space="preserve">Evidence channel</t>
  </si>
  <si>
    <t xml:space="preserve">Evidence subs</t>
  </si>
  <si>
    <t xml:space="preserve">Evidence views</t>
  </si>
  <si>
    <t xml:space="preserve">Views / Subs</t>
  </si>
  <si>
    <t xml:space="preserve">Evidence age (yrs)</t>
  </si>
  <si>
    <t xml:space="preserve">Evidence URL</t>
  </si>
  <si>
    <t xml:space="preserve">Status</t>
  </si>
  <si>
    <t xml:space="preserve">Publish date</t>
  </si>
  <si>
    <t xml:space="preserve">Notes</t>
  </si>
  <si>
    <t xml:space="preserve">Pending rank (helper)</t>
  </si>
  <si>
    <t xml:space="preserve">Phase 1: intermediate micro + macro, textbook order</t>
  </si>
  <si>
    <t xml:space="preserve">MI-01</t>
  </si>
  <si>
    <t xml:space="preserve">Intermediate Microeconomics</t>
  </si>
  <si>
    <t xml:space="preserve">McAfee &amp; Lewis, Introduction to Economic Analysis (CC BY-NC-SA) §2 Supply and Demand</t>
  </si>
  <si>
    <t xml:space="preserve">Supply and demand, properly: what shifts a curve and what moves along it</t>
  </si>
  <si>
    <t xml:space="preserve">Explainer</t>
  </si>
  <si>
    <t xml:space="preserve">8-10 min</t>
  </si>
  <si>
    <t xml:space="preserve">None</t>
  </si>
  <si>
    <t xml:space="preserve">IB/A-level/AP</t>
  </si>
  <si>
    <t xml:space="preserve">High</t>
  </si>
  <si>
    <t xml:space="preserve">Stale (median outlier age 8y+)</t>
  </si>
  <si>
    <t xml:space="preserve">Supply and Demand (and Equilibrium Price &amp; Quanitity) - Intro to Microeconomics</t>
  </si>
  <si>
    <t xml:space="preserve">economicurtis</t>
  </si>
  <si>
    <t xml:space="preserve">https://youtu.be/op70yS_7du8</t>
  </si>
  <si>
    <t xml:space="preserve">Planned</t>
  </si>
  <si>
    <t xml:space="preserve">MA-01</t>
  </si>
  <si>
    <t xml:space="preserve">Intermediate Macroeconomics</t>
  </si>
  <si>
    <t xml:space="preserve">Garín, Lester &amp; Sims, Intermediate Macroeconomics (free PDF) Ch.1-2 Measurement</t>
  </si>
  <si>
    <t xml:space="preserve">GDP, properly: three ways to measure one number</t>
  </si>
  <si>
    <t xml:space="preserve">Ageing (4-8y)</t>
  </si>
  <si>
    <t xml:space="preserve">Three methods of GDP Calculation</t>
  </si>
  <si>
    <t xml:space="preserve">ecopoint</t>
  </si>
  <si>
    <t xml:space="preserve">https://youtu.be/mgtVQQALWQI</t>
  </si>
  <si>
    <t xml:space="preserve">MI-02</t>
  </si>
  <si>
    <t xml:space="preserve">McAfee &amp; Lewis, Introduction to Economic Analysis (CC BY-NC-SA) §2.3 Elasticity</t>
  </si>
  <si>
    <t xml:space="preserve">How to solve elasticity problems (point, arc, revenue test)</t>
  </si>
  <si>
    <t xml:space="preserve">Worked problem ("how to solve")</t>
  </si>
  <si>
    <t xml:space="preserve">How to Solve Elasticity Problems in Economics</t>
  </si>
  <si>
    <t xml:space="preserve">Free Econ Help</t>
  </si>
  <si>
    <t xml:space="preserve">https://youtu.be/-2xh2Fz_XNo</t>
  </si>
  <si>
    <t xml:space="preserve">MA-02</t>
  </si>
  <si>
    <t xml:space="preserve">Garín, Lester &amp; Sims, Intermediate Macroeconomics (free PDF) Ch.2 Prices</t>
  </si>
  <si>
    <t xml:space="preserve">Inflation, the CPI and the GDP deflator (and why they disagree)</t>
  </si>
  <si>
    <t xml:space="preserve">How to Calculate the Consumer Price Index (CPI) and Inflation Rate</t>
  </si>
  <si>
    <t xml:space="preserve">Economics in Many Lessons</t>
  </si>
  <si>
    <t xml:space="preserve">https://youtu.be/6xJe_oJybDs</t>
  </si>
  <si>
    <t xml:space="preserve">MI-03</t>
  </si>
  <si>
    <t xml:space="preserve">McAfee &amp; Lewis, Introduction to Economic Analysis (CC BY-NC-SA) §2.1 Opportunity cost / PPF</t>
  </si>
  <si>
    <t xml:space="preserve">How to calculate opportunity cost (and why the PPF is curved)</t>
  </si>
  <si>
    <t xml:space="preserve">6-8 min</t>
  </si>
  <si>
    <t xml:space="preserve">How to calculate opportunity costs</t>
  </si>
  <si>
    <t xml:space="preserve">https://youtu.be/VZrNbHCkv6A</t>
  </si>
  <si>
    <t xml:space="preserve">MA-03</t>
  </si>
  <si>
    <t xml:space="preserve">Garín, Lester &amp; Sims, Intermediate Macroeconomics (free PDF) Ch.4 Production function</t>
  </si>
  <si>
    <t xml:space="preserve">The aggregate production function and diminishing returns to capital</t>
  </si>
  <si>
    <t xml:space="preserve">MI-11</t>
  </si>
  <si>
    <t xml:space="preserve">University</t>
  </si>
  <si>
    <t xml:space="preserve">Low</t>
  </si>
  <si>
    <t xml:space="preserve">-</t>
  </si>
  <si>
    <t xml:space="preserve">What are diminishing returns in economics</t>
  </si>
  <si>
    <t xml:space="preserve">https://youtu.be/QVlb4ciaKyA</t>
  </si>
  <si>
    <t xml:space="preserve">MI-04</t>
  </si>
  <si>
    <t xml:space="preserve">McAfee &amp; Lewis, Introduction to Economic Analysis (CC BY-NC-SA) §2.5 Surplus</t>
  </si>
  <si>
    <t xml:space="preserve">Consumer and producer surplus: how to calculate them from a graph</t>
  </si>
  <si>
    <t xml:space="preserve">How to Calculate Consumer Surplus</t>
  </si>
  <si>
    <t xml:space="preserve">https://youtu.be/0hBIwRqTwmY</t>
  </si>
  <si>
    <t xml:space="preserve">MA-04</t>
  </si>
  <si>
    <t xml:space="preserve">Garín, Lester &amp; Sims, Intermediate Macroeconomics (free PDF) Ch.5 Solow model</t>
  </si>
  <si>
    <t xml:space="preserve">The Solow growth model, part 1: the diagram and the steady state</t>
  </si>
  <si>
    <t xml:space="preserve">12-15 min</t>
  </si>
  <si>
    <t xml:space="preserve">Solow Growth Model | Part 1 | Model Intro &amp; Solution | Intermediate Macroeconomics</t>
  </si>
  <si>
    <t xml:space="preserve">Tactical Economics</t>
  </si>
  <si>
    <t xml:space="preserve">https://youtu.be/aywhE3BpJOs</t>
  </si>
  <si>
    <t xml:space="preserve">MI-05</t>
  </si>
  <si>
    <t xml:space="preserve">McAfee &amp; Lewis, Introduction to Economic Analysis (CC BY-NC-SA) §5 Government interventions</t>
  </si>
  <si>
    <t xml:space="preserve">Price ceilings, floors and taxes: who really pays?</t>
  </si>
  <si>
    <t xml:space="preserve">IB/A-level</t>
  </si>
  <si>
    <t xml:space="preserve">Medium</t>
  </si>
  <si>
    <t xml:space="preserve">Price Ceiling and Price Floor | Think Econ</t>
  </si>
  <si>
    <t xml:space="preserve">Think Econ</t>
  </si>
  <si>
    <t xml:space="preserve">https://youtu.be/a2iKaTqgrxs</t>
  </si>
  <si>
    <t xml:space="preserve">MA-05</t>
  </si>
  <si>
    <t xml:space="preserve">Garín, Lester &amp; Sims, Intermediate Macroeconomics (free PDF) Ch.5-6 Solow extensions</t>
  </si>
  <si>
    <t xml:space="preserve">Solow part 2: population, technology and the golden rule</t>
  </si>
  <si>
    <t xml:space="preserve">Solow Growth Model | Part 4 | The Golden Rule | Intermediate Macroeconomics</t>
  </si>
  <si>
    <t xml:space="preserve">https://youtu.be/s5PFwvwNKiY</t>
  </si>
  <si>
    <t xml:space="preserve">MI-06</t>
  </si>
  <si>
    <t xml:space="preserve">McAfee &amp; Lewis, Introduction to Economic Analysis (CC BY-NC-SA) §12 Consumer Theory: utility</t>
  </si>
  <si>
    <t xml:space="preserve">Indifference curves and the budget constraint, visualised</t>
  </si>
  <si>
    <t xml:space="preserve">10-12 min</t>
  </si>
  <si>
    <t xml:space="preserve">indifference curves</t>
  </si>
  <si>
    <t xml:space="preserve">pajholden</t>
  </si>
  <si>
    <t xml:space="preserve">https://youtu.be/P_N2hr9aMow</t>
  </si>
  <si>
    <t xml:space="preserve">MA-06</t>
  </si>
  <si>
    <t xml:space="preserve">Garín, Lester &amp; Sims, Intermediate Macroeconomics (free PDF) Ch.7 Growth accounting</t>
  </si>
  <si>
    <t xml:space="preserve">Growth accounting: how much of growth is capital, labour and ideas?</t>
  </si>
  <si>
    <t xml:space="preserve">Growth Accounting</t>
  </si>
  <si>
    <t xml:space="preserve">Klaus Prettner</t>
  </si>
  <si>
    <t xml:space="preserve">https://youtu.be/GDdM_MWh6xY</t>
  </si>
  <si>
    <t xml:space="preserve">MI-07</t>
  </si>
  <si>
    <t xml:space="preserve">McAfee &amp; Lewis, Introduction to Economic Analysis (CC BY-NC-SA) §12.3 Income &amp; substitution effects</t>
  </si>
  <si>
    <t xml:space="preserve">Income vs substitution effects (the Slutsky decomposition, step by step)</t>
  </si>
  <si>
    <t xml:space="preserve">Giffen Good Example - Price Change, Income and Substitution Effect - Intro to Microeconomics</t>
  </si>
  <si>
    <t xml:space="preserve">https://youtu.be/VRC-DVqKYCE</t>
  </si>
  <si>
    <t xml:space="preserve">MA-07</t>
  </si>
  <si>
    <t xml:space="preserve">Garín, Lester &amp; Sims, Intermediate Macroeconomics (free PDF) Ch.9 Consumption</t>
  </si>
  <si>
    <t xml:space="preserve">Consumption smoothing: the two-period model and permanent income</t>
  </si>
  <si>
    <t xml:space="preserve">Two Period Utility Maximization: Introduction to Inter-temporal</t>
  </si>
  <si>
    <t xml:space="preserve">BurkeyAcademy</t>
  </si>
  <si>
    <t xml:space="preserve">https://youtu.be/0bQh3J82edU</t>
  </si>
  <si>
    <t xml:space="preserve">MI-29</t>
  </si>
  <si>
    <t xml:space="preserve">McAfee &amp; Lewis, Introduction to Economic Analysis (CC BY-NC-SA) §12.4 Labour supply</t>
  </si>
  <si>
    <t xml:space="preserve">The labour-leisure choice: why higher wages don't always mean more work</t>
  </si>
  <si>
    <t xml:space="preserve">substitution and income effects on the backward bending supply curve of labour</t>
  </si>
  <si>
    <t xml:space="preserve">https://youtu.be/R-VCNJKsvwg</t>
  </si>
  <si>
    <t xml:space="preserve">MA-26</t>
  </si>
  <si>
    <t xml:space="preserve">Garín, Lester &amp; Sims, Intermediate Macroeconomics (free PDF) Ch.8 Investment</t>
  </si>
  <si>
    <t xml:space="preserve">Investment: Tobin's q and the user cost of capital</t>
  </si>
  <si>
    <t xml:space="preserve">Change In Investment Demand and the Loanable Funds Market - Intermediate Macroeconomics</t>
  </si>
  <si>
    <t xml:space="preserve">https://youtu.be/2j780pByEeI</t>
  </si>
  <si>
    <t xml:space="preserve">MI-30</t>
  </si>
  <si>
    <t xml:space="preserve">McAfee &amp; Lewis, Introduction to Economic Analysis (CC BY-NC-SA) §12.5 Intertemporal choice</t>
  </si>
  <si>
    <t xml:space="preserve">Saving and borrowing: the intertemporal budget constraint</t>
  </si>
  <si>
    <t xml:space="preserve">Intertemporal Utility Maximization: Two Period Example Problems</t>
  </si>
  <si>
    <t xml:space="preserve">https://youtu.be/jEdU6wizLF0</t>
  </si>
  <si>
    <t xml:space="preserve">MA-08</t>
  </si>
  <si>
    <t xml:space="preserve">Garín, Lester &amp; Sims, Intermediate Macroeconomics (free PDF) Ch.12 Labour market</t>
  </si>
  <si>
    <t xml:space="preserve">Unemployment: natural rate, cyclical and the labour market diagram</t>
  </si>
  <si>
    <t xml:space="preserve">How to Calculate the Unemployment Rate | Macroeconomics | Think Econ</t>
  </si>
  <si>
    <t xml:space="preserve">https://youtu.be/3FudpA_fCGQ</t>
  </si>
  <si>
    <t xml:space="preserve">MI-08</t>
  </si>
  <si>
    <t xml:space="preserve">McAfee &amp; Lewis, Introduction to Economic Analysis (CC BY-NC-SA) §12.1 Marginal utility</t>
  </si>
  <si>
    <t xml:space="preserve">Marginal utility and why demand slopes down</t>
  </si>
  <si>
    <t xml:space="preserve">Utility &amp; Marginal Utility</t>
  </si>
  <si>
    <t xml:space="preserve">Principles of Microeconomics</t>
  </si>
  <si>
    <t xml:space="preserve">https://youtu.be/DRLS86XfHLg</t>
  </si>
  <si>
    <t xml:space="preserve">MA-09</t>
  </si>
  <si>
    <t xml:space="preserve">Garín, Lester &amp; Sims, Intermediate Macroeconomics (free PDF) Ch.15 Money</t>
  </si>
  <si>
    <t xml:space="preserve">How banks create money (the balance-sheet version)</t>
  </si>
  <si>
    <t xml:space="preserve">💲 Money Creation | How does it work?</t>
  </si>
  <si>
    <t xml:space="preserve">EconClips</t>
  </si>
  <si>
    <t xml:space="preserve">https://youtu.be/3zAvyTKj5-0</t>
  </si>
  <si>
    <t xml:space="preserve">MI-09</t>
  </si>
  <si>
    <t xml:space="preserve">McAfee &amp; Lewis, Introduction to Economic Analysis (CC BY-NC-SA) §9 Producer Theory: cost curves</t>
  </si>
  <si>
    <t xml:space="preserve">How to calculate marginal, average and total cost (and draw the curves)</t>
  </si>
  <si>
    <t xml:space="preserve">How to Calculate Marginal Cost, Average Total Cost, Average Variable Cost, and Average Fixed Cost</t>
  </si>
  <si>
    <t xml:space="preserve">https://youtu.be/3-j-rZ6hz74</t>
  </si>
  <si>
    <t xml:space="preserve">MA-10</t>
  </si>
  <si>
    <t xml:space="preserve">Garín, Lester &amp; Sims, Intermediate Macroeconomics (free PDF) Ch.16 The IS curve</t>
  </si>
  <si>
    <t xml:space="preserve">The IS curve, derived: goods-market equilibrium and the multiplier</t>
  </si>
  <si>
    <t xml:space="preserve">Macro Problem - Calculate the IS Curve &amp; LM Curve Equations - Equilibrium Interest Rate &amp; Output</t>
  </si>
  <si>
    <t xml:space="preserve">https://youtu.be/pAX7mR4ii5Y</t>
  </si>
  <si>
    <t xml:space="preserve">MI-10</t>
  </si>
  <si>
    <t xml:space="preserve">McAfee &amp; Lewis, Introduction to Economic Analysis (CC BY-NC-SA) §9.3 Returns to scale</t>
  </si>
  <si>
    <t xml:space="preserve">Economies of scale and the long-run average cost curve</t>
  </si>
  <si>
    <t xml:space="preserve">Long run average total cost curve relating to economies and diseconomies of scale</t>
  </si>
  <si>
    <t xml:space="preserve">https://youtu.be/URIjtaP6SPk</t>
  </si>
  <si>
    <t xml:space="preserve">MA-11</t>
  </si>
  <si>
    <t xml:space="preserve">Garín, Lester &amp; Sims, Intermediate Macroeconomics (free PDF) Ch.17 The LM curve</t>
  </si>
  <si>
    <t xml:space="preserve">The LM curve, derived: money-market equilibrium</t>
  </si>
  <si>
    <t xml:space="preserve">Phase 2: micro / macro / game theory / econometrics rotation; micro &amp; macro anchors</t>
  </si>
  <si>
    <t xml:space="preserve">McAfee &amp; Lewis, Introduction to Economic Analysis (CC BY-NC-SA) §9.1 Production functions</t>
  </si>
  <si>
    <t xml:space="preserve">Cobb-Douglas: the production function that runs economics</t>
  </si>
  <si>
    <t xml:space="preserve">Cobb-Douglas Production Function Differentiation Example</t>
  </si>
  <si>
    <t xml:space="preserve">https://youtu.be/rYsNHYgIUL4</t>
  </si>
  <si>
    <t xml:space="preserve">MA-12</t>
  </si>
  <si>
    <t xml:space="preserve">Garín, Lester &amp; Sims, Intermediate Macroeconomics (free PDF) Ch.18 IS-LM</t>
  </si>
  <si>
    <t xml:space="preserve">The IS-LM model: fiscal and monetary policy in one diagram</t>
  </si>
  <si>
    <t xml:space="preserve">MA-11, MA-12</t>
  </si>
  <si>
    <t xml:space="preserve">Introduction to IS LM model</t>
  </si>
  <si>
    <t xml:space="preserve">https://youtu.be/Q3hoC8lDCBo</t>
  </si>
  <si>
    <t xml:space="preserve">GT-01</t>
  </si>
  <si>
    <t xml:space="preserve">Game Theory</t>
  </si>
  <si>
    <t xml:space="preserve">Bonanno, Game Theory (open access, UC Davis) Ch.1 Strategic games</t>
  </si>
  <si>
    <t xml:space="preserve">Game theory from zero: payoff matrices and dominant strategies</t>
  </si>
  <si>
    <t xml:space="preserve">IB/University</t>
  </si>
  <si>
    <t xml:space="preserve">Intro to Game Theory and the Dominant Strategy Equilibrium</t>
  </si>
  <si>
    <t xml:space="preserve">The Economics Detective</t>
  </si>
  <si>
    <t xml:space="preserve">https://youtu.be/3Y1WpytiHKE</t>
  </si>
  <si>
    <t xml:space="preserve">EC-01</t>
  </si>
  <si>
    <t xml:space="preserve">Econometrics</t>
  </si>
  <si>
    <t xml:space="preserve">Hanck et al., Introduction to Econometrics with R (CC BY-NC-SA) Ch.4 Simple regression</t>
  </si>
  <si>
    <t xml:space="preserve">Simple linear regression: what OLS actually minimises (and why)</t>
  </si>
  <si>
    <t xml:space="preserve">PS-27 (stats lane)</t>
  </si>
  <si>
    <t xml:space="preserve">Econometrics // Lecture 3: OLS and Goodness-Of-Fit (R-Squared)</t>
  </si>
  <si>
    <t xml:space="preserve">KeynesAcademy</t>
  </si>
  <si>
    <t xml:space="preserve">https://youtu.be/8tAPsX0YuNE</t>
  </si>
  <si>
    <t xml:space="preserve">MI-28</t>
  </si>
  <si>
    <t xml:space="preserve">McAfee &amp; Lewis, Introduction to Economic Analysis (CC BY-NC-SA) (whole)</t>
  </si>
  <si>
    <t xml:space="preserve">ALL of Intermediate Microeconomics in 20 minutes</t>
  </si>
  <si>
    <t xml:space="preserve">Anchor (ALL of…)</t>
  </si>
  <si>
    <t xml:space="preserve">20 min</t>
  </si>
  <si>
    <t xml:space="preserve">MI-01…MI-27</t>
  </si>
  <si>
    <t xml:space="preserve">Fresh (&lt;4y)</t>
  </si>
  <si>
    <t xml:space="preserve">The Entire Economics Degree in 20 Minutes</t>
  </si>
  <si>
    <t xml:space="preserve">20 Minute University</t>
  </si>
  <si>
    <t xml:space="preserve">https://youtu.be/NngM_qdDMm8</t>
  </si>
  <si>
    <t xml:space="preserve">MI-12</t>
  </si>
  <si>
    <t xml:space="preserve">McAfee &amp; Lewis, Introduction to Economic Analysis (CC BY-NC-SA) §10 Perfect competition</t>
  </si>
  <si>
    <t xml:space="preserve">Perfect competition: profit maximisation and the shutdown rule</t>
  </si>
  <si>
    <t xml:space="preserve">Microeconomics Unit 3 COMPLETE Summary - Production &amp; Perfect Competition</t>
  </si>
  <si>
    <t xml:space="preserve">ReviewEcon</t>
  </si>
  <si>
    <t xml:space="preserve">https://youtu.be/8ioYb2DZdbo</t>
  </si>
  <si>
    <t xml:space="preserve">MA-13</t>
  </si>
  <si>
    <t xml:space="preserve">Garín, Lester &amp; Sims, Intermediate Macroeconomics (free PDF) Ch.19 AD-AS</t>
  </si>
  <si>
    <t xml:space="preserve">The AD-AS model: demand and supply shocks, short run to long run</t>
  </si>
  <si>
    <t xml:space="preserve">The AD-AS model</t>
  </si>
  <si>
    <t xml:space="preserve">Economics Online</t>
  </si>
  <si>
    <t xml:space="preserve">https://youtu.be/xP4y2m16NH8</t>
  </si>
  <si>
    <t xml:space="preserve">GT-02</t>
  </si>
  <si>
    <t xml:space="preserve">Bonanno, Game Theory (open access, UC Davis) Ch.2 Nash equilibrium</t>
  </si>
  <si>
    <t xml:space="preserve">How to find a Nash equilibrium in a 2×2 game</t>
  </si>
  <si>
    <t xml:space="preserve">Dominant Strategy, Nash Equilibrium &amp; Dominant Strategy Equilibrium in Simultaneous Move Games</t>
  </si>
  <si>
    <t xml:space="preserve">econhelp</t>
  </si>
  <si>
    <t xml:space="preserve">https://youtu.be/3EOlRF7EjKU</t>
  </si>
  <si>
    <t xml:space="preserve">EC-02</t>
  </si>
  <si>
    <t xml:space="preserve">Hanck et al., Introduction to Econometrics with R (CC BY-NC-SA) Ch.4.3 Goodness of fit</t>
  </si>
  <si>
    <t xml:space="preserve">R² explained: what it measures and the three ways people misuse it</t>
  </si>
  <si>
    <t xml:space="preserve">MI-13</t>
  </si>
  <si>
    <t xml:space="preserve">McAfee &amp; Lewis, Introduction to Economic Analysis (CC BY-NC-SA) §10.3 Long run</t>
  </si>
  <si>
    <t xml:space="preserve">From short run to long run in perfect competition (why profits vanish)</t>
  </si>
  <si>
    <t xml:space="preserve">From Short-run to Long-run in Perfect Competition</t>
  </si>
  <si>
    <t xml:space="preserve">Jason Welker</t>
  </si>
  <si>
    <t xml:space="preserve">https://youtu.be/krUu_u63MiA</t>
  </si>
  <si>
    <t xml:space="preserve">MA-14</t>
  </si>
  <si>
    <t xml:space="preserve">Garín, Lester &amp; Sims, Intermediate Macroeconomics (free PDF) Ch.20 Phillips curve</t>
  </si>
  <si>
    <t xml:space="preserve">The Phillips curve: why it worked, broke, and came back</t>
  </si>
  <si>
    <t xml:space="preserve">Phillips Curve</t>
  </si>
  <si>
    <t xml:space="preserve">https://youtu.be/-Fk_2iRfC18</t>
  </si>
  <si>
    <t xml:space="preserve">GT-03</t>
  </si>
  <si>
    <t xml:space="preserve">Bonanno, Game Theory (open access, UC Davis) Ch.2 Prisoner's dilemma</t>
  </si>
  <si>
    <t xml:space="preserve">The prisoner's dilemma: why rational players lose</t>
  </si>
  <si>
    <t xml:space="preserve">Game Theory | Prisoner's Dilemma | Nash Equilibrium | by Vidhi Kalra</t>
  </si>
  <si>
    <t xml:space="preserve">5 Minute Economics</t>
  </si>
  <si>
    <t xml:space="preserve">https://youtu.be/sCKRV8Yps-Y</t>
  </si>
  <si>
    <t xml:space="preserve">EC-03</t>
  </si>
  <si>
    <t xml:space="preserve">Hanck et al., Introduction to Econometrics with R (CC BY-NC-SA) Ch.5 Inference</t>
  </si>
  <si>
    <t xml:space="preserve">Standard errors, t-tests and p-values in a regression table</t>
  </si>
  <si>
    <t xml:space="preserve">How to interpret regression tables</t>
  </si>
  <si>
    <t xml:space="preserve">Doug McKee</t>
  </si>
  <si>
    <t xml:space="preserve">https://youtu.be/o86xvmUYo-Q</t>
  </si>
  <si>
    <t xml:space="preserve">MI-14</t>
  </si>
  <si>
    <t xml:space="preserve">McAfee &amp; Lewis, Introduction to Economic Analysis (CC BY-NC-SA) §15 Monopoly</t>
  </si>
  <si>
    <t xml:space="preserve">Monopoly: how to find price, quantity and deadweight loss</t>
  </si>
  <si>
    <t xml:space="preserve">Monopolistic competition</t>
  </si>
  <si>
    <t xml:space="preserve">https://youtu.be/XG6jWY0SvC0</t>
  </si>
  <si>
    <t xml:space="preserve">MA-15</t>
  </si>
  <si>
    <t xml:space="preserve">Garín, Lester &amp; Sims, Intermediate Macroeconomics (free PDF) Ch.21 Monetary policy</t>
  </si>
  <si>
    <t xml:space="preserve">Monetary policy and the Taylor rule: how central banks set rates</t>
  </si>
  <si>
    <t xml:space="preserve">Monetary Policy explained</t>
  </si>
  <si>
    <t xml:space="preserve">Sim Institute</t>
  </si>
  <si>
    <t xml:space="preserve">https://youtu.be/IMkLAP_aj3I</t>
  </si>
  <si>
    <t xml:space="preserve">GT-04</t>
  </si>
  <si>
    <t xml:space="preserve">Bonanno, Game Theory (open access, UC Davis) Ch.3 Perfect information</t>
  </si>
  <si>
    <t xml:space="preserve">Sequential games and backward induction (game trees)</t>
  </si>
  <si>
    <t xml:space="preserve">Backwards Induction Game Tree</t>
  </si>
  <si>
    <t xml:space="preserve">Ashley Hodgson</t>
  </si>
  <si>
    <t xml:space="preserve">https://youtu.be/0Hk59luySfg</t>
  </si>
  <si>
    <t xml:space="preserve">EC-04</t>
  </si>
  <si>
    <t xml:space="preserve">Hanck et al., Introduction to Econometrics with R (CC BY-NC-SA) Ch.6 Multiple regression</t>
  </si>
  <si>
    <t xml:space="preserve">Multiple regression and omitted variable bias, visualised</t>
  </si>
  <si>
    <t xml:space="preserve">Wooldridge Econometrics for Economics BSc students Ch. 3: Multiple Regression Analysis: Estimation</t>
  </si>
  <si>
    <t xml:space="preserve">youtube-economist</t>
  </si>
  <si>
    <t xml:space="preserve">https://youtu.be/17nWWWUrUcg</t>
  </si>
  <si>
    <t xml:space="preserve">MA-25</t>
  </si>
  <si>
    <t xml:space="preserve">Garín, Lester &amp; Sims, Intermediate Macroeconomics (free PDF) (whole)</t>
  </si>
  <si>
    <t xml:space="preserve">ALL of Intermediate Macroeconomics in 20 minutes</t>
  </si>
  <si>
    <t xml:space="preserve">MA-01…MA-25</t>
  </si>
  <si>
    <t xml:space="preserve">AP Macroeconomics Full Course (EVERYTHING IN ONE VIDEO)</t>
  </si>
  <si>
    <t xml:space="preserve">Jesse Li - Free AP Courses &amp; More</t>
  </si>
  <si>
    <t xml:space="preserve">https://youtu.be/LeScGp91xfs</t>
  </si>
  <si>
    <t xml:space="preserve">MI-15</t>
  </si>
  <si>
    <t xml:space="preserve">McAfee &amp; Lewis, Introduction to Economic Analysis (CC BY-NC-SA) §15.2 Deadweight loss</t>
  </si>
  <si>
    <t xml:space="preserve">How to calculate deadweight loss (tax, monopoly, price control)</t>
  </si>
  <si>
    <t xml:space="preserve">How to calculate deadweight loss</t>
  </si>
  <si>
    <t xml:space="preserve">https://youtu.be/kF1c8ujpTYY</t>
  </si>
  <si>
    <t xml:space="preserve">MA-16</t>
  </si>
  <si>
    <t xml:space="preserve">Garín, Lester &amp; Sims, Intermediate Macroeconomics (free PDF) Ch.22 Fiscal policy</t>
  </si>
  <si>
    <t xml:space="preserve">Fiscal policy, deficits and debt: the government budget constraint</t>
  </si>
  <si>
    <t xml:space="preserve">Fiscal Policy explained</t>
  </si>
  <si>
    <t xml:space="preserve">https://youtu.be/DAF81UKWCOI</t>
  </si>
  <si>
    <t xml:space="preserve">GT-05</t>
  </si>
  <si>
    <t xml:space="preserve">Bonanno, Game Theory (open access, UC Davis) Ch.4 Subgame perfection</t>
  </si>
  <si>
    <t xml:space="preserve">Subgame perfect equilibrium: the threats that aren't credible</t>
  </si>
  <si>
    <t xml:space="preserve">Subgame Perfect Nash Equilibrium</t>
  </si>
  <si>
    <t xml:space="preserve">https://youtu.be/dTTFzBlpdKA</t>
  </si>
  <si>
    <t xml:space="preserve">EC-05</t>
  </si>
  <si>
    <t xml:space="preserve">Hanck et al., Introduction to Econometrics with R (CC BY-NC-SA) Ch.6.4 Multicollinearity</t>
  </si>
  <si>
    <t xml:space="preserve">Multicollinearity: why your coefficients went crazy</t>
  </si>
  <si>
    <t xml:space="preserve">Multicollinearity – Meaning, Types, Causes, Detection (Econometrics)</t>
  </si>
  <si>
    <t xml:space="preserve">Mini Sethi</t>
  </si>
  <si>
    <t xml:space="preserve">https://youtu.be/VQEPk_SIYT0</t>
  </si>
  <si>
    <t xml:space="preserve">MI-16</t>
  </si>
  <si>
    <t xml:space="preserve">McAfee &amp; Lewis, Introduction to Economic Analysis (CC BY-NC-SA) §15.4 Price discrimination</t>
  </si>
  <si>
    <t xml:space="preserve">Price discrimination: why the same seat costs three prices</t>
  </si>
  <si>
    <t xml:space="preserve">Price discrimination</t>
  </si>
  <si>
    <t xml:space="preserve">https://youtu.be/IZ1iAYhQnwg</t>
  </si>
  <si>
    <t xml:space="preserve">MA-17</t>
  </si>
  <si>
    <t xml:space="preserve">Garín, Lester &amp; Sims, Intermediate Macroeconomics (free PDF) Ch.24 Open economy</t>
  </si>
  <si>
    <t xml:space="preserve">Exchange rates and the balance of payments, explained</t>
  </si>
  <si>
    <t xml:space="preserve">balance of payments - structure of the current account</t>
  </si>
  <si>
    <t xml:space="preserve">https://youtu.be/JKRBpJZ92QM</t>
  </si>
  <si>
    <t xml:space="preserve">Phase 3: econometrics &amp; game theory heavy; IB anchor; remaining topics</t>
  </si>
  <si>
    <t xml:space="preserve">GT-06</t>
  </si>
  <si>
    <t xml:space="preserve">Bonanno, Game Theory (open access, UC Davis) Ch.5 Mixed strategies</t>
  </si>
  <si>
    <t xml:space="preserve">Mixed strategies: how to solve for the probabilities</t>
  </si>
  <si>
    <t xml:space="preserve">Mixed Strategies Nash Equilibrium: The Math</t>
  </si>
  <si>
    <t xml:space="preserve">https://youtu.be/S49oKtISkqI</t>
  </si>
  <si>
    <t xml:space="preserve">EC-06</t>
  </si>
  <si>
    <t xml:space="preserve">Hanck et al., Introduction to Econometrics with R (CC BY-NC-SA) Ch.5.4 Heteroskedasticity</t>
  </si>
  <si>
    <t xml:space="preserve">Heteroskedasticity and robust standard errors</t>
  </si>
  <si>
    <t xml:space="preserve">Wooldridge Econometrics for Economics BSc students Ch. 8: Heteroskedasticity</t>
  </si>
  <si>
    <t xml:space="preserve">https://youtu.be/DMzBRYqAHrE</t>
  </si>
  <si>
    <t xml:space="preserve">EC-07</t>
  </si>
  <si>
    <t xml:space="preserve">Hanck et al., Introduction to Econometrics with R (CC BY-NC-SA) Ch.8 Nonlinear</t>
  </si>
  <si>
    <t xml:space="preserve">Logs in regression: how to read elasticities and percent changes</t>
  </si>
  <si>
    <t xml:space="preserve">Log-Log Regression &amp; Interpretation (What do the Regression Coefficient Estimate Results Mean?)</t>
  </si>
  <si>
    <t xml:space="preserve">https://youtu.be/NZCSt9WkpkI</t>
  </si>
  <si>
    <t xml:space="preserve">GT-07</t>
  </si>
  <si>
    <t xml:space="preserve">Bonanno, Game Theory (open access, UC Davis) Ch.7 Repeated games</t>
  </si>
  <si>
    <t xml:space="preserve">Repeated games and tit-for-tat: how cooperation survives</t>
  </si>
  <si>
    <t xml:space="preserve">Repeated Games in Game Theory</t>
  </si>
  <si>
    <t xml:space="preserve">https://youtu.be/A0sR5pz69IE</t>
  </si>
  <si>
    <t xml:space="preserve">MI-17</t>
  </si>
  <si>
    <t xml:space="preserve">McAfee &amp; Lewis, Introduction to Economic Analysis (CC BY-NC-SA) §17 Oligopoly: Cournot</t>
  </si>
  <si>
    <t xml:space="preserve">How to solve a Cournot oligopoly problem</t>
  </si>
  <si>
    <t xml:space="preserve">MI-14, GT-01</t>
  </si>
  <si>
    <t xml:space="preserve">How to Solve a Cournot Oligopoly Problem</t>
  </si>
  <si>
    <t xml:space="preserve">https://youtu.be/An_2r6Ae_28</t>
  </si>
  <si>
    <t xml:space="preserve">MA-18</t>
  </si>
  <si>
    <t xml:space="preserve">Garín, Lester &amp; Sims, Intermediate Macroeconomics (free PDF) Ch.25 Mundell-Fleming</t>
  </si>
  <si>
    <t xml:space="preserve">The Mundell-Fleming model: the trilemma every central bank faces</t>
  </si>
  <si>
    <t xml:space="preserve">MA-13, MA-18</t>
  </si>
  <si>
    <t xml:space="preserve">The Mundell-Fleming Model by Vidhi Kalra</t>
  </si>
  <si>
    <t xml:space="preserve">https://youtu.be/U7K2OTQj4ZQ</t>
  </si>
  <si>
    <t xml:space="preserve">EC-08</t>
  </si>
  <si>
    <t xml:space="preserve">Huntington-Klein, The Effect (free online) Ch.5-6 Causality</t>
  </si>
  <si>
    <t xml:space="preserve">Correlation vs causation: the DAG way of thinking</t>
  </si>
  <si>
    <t xml:space="preserve">Data Science Research Methods: Causality and selection</t>
  </si>
  <si>
    <t xml:space="preserve">https://youtu.be/oJgGuRG_lNY</t>
  </si>
  <si>
    <t xml:space="preserve">GT-08</t>
  </si>
  <si>
    <t xml:space="preserve">Bonanno, Game Theory (open access, UC Davis) Ch.8 Bayesian games</t>
  </si>
  <si>
    <t xml:space="preserve">Games with incomplete information: Bayesian Nash equilibrium</t>
  </si>
  <si>
    <t xml:space="preserve">No comparable video</t>
  </si>
  <si>
    <t xml:space="preserve">MI-18</t>
  </si>
  <si>
    <t xml:space="preserve">McAfee &amp; Lewis, Introduction to Economic Analysis (CC BY-NC-SA) §17.2 Stackelberg</t>
  </si>
  <si>
    <t xml:space="preserve">How to solve a Stackelberg problem (and why moving first pays)</t>
  </si>
  <si>
    <t xml:space="preserve">How to Solve A Stackelberg Oligopoly Problem</t>
  </si>
  <si>
    <t xml:space="preserve">https://youtu.be/LMCODkeeDtE</t>
  </si>
  <si>
    <t xml:space="preserve">MA-19</t>
  </si>
  <si>
    <t xml:space="preserve">Garín, Lester &amp; Sims, Intermediate Macroeconomics (free PDF) Ch.26 Financial crises</t>
  </si>
  <si>
    <t xml:space="preserve">Bank runs and financial crises: the Diamond-Dybvig idea</t>
  </si>
  <si>
    <t xml:space="preserve">ALL OF The 2008 Financial Crisis Explained in 43 Minutes</t>
  </si>
  <si>
    <t xml:space="preserve"> Fred - Money Historian</t>
  </si>
  <si>
    <t xml:space="preserve">https://youtu.be/L6KmmdVISj4</t>
  </si>
  <si>
    <t xml:space="preserve">EC-09</t>
  </si>
  <si>
    <t xml:space="preserve">Cunningham, Causal Inference: The Mixtape (free online) Ch.4 Potential outcomes</t>
  </si>
  <si>
    <t xml:space="preserve">Potential outcomes and the randomised experiment: the gold standard</t>
  </si>
  <si>
    <t xml:space="preserve">The problems with Randomised Controlled Trials</t>
  </si>
  <si>
    <t xml:space="preserve">CEPR &amp; VideoVox Economics</t>
  </si>
  <si>
    <t xml:space="preserve">https://youtu.be/UB1A62u9fBE</t>
  </si>
  <si>
    <t xml:space="preserve">GT-09</t>
  </si>
  <si>
    <t xml:space="preserve">Bonanno, Game Theory (open access, UC Davis) Ch.9 Signalling</t>
  </si>
  <si>
    <t xml:space="preserve">Signalling games: why degrees exist (Spence)</t>
  </si>
  <si>
    <t xml:space="preserve">The Signalling Model of Education</t>
  </si>
  <si>
    <t xml:space="preserve">https://youtu.be/g35WfYYFKRc</t>
  </si>
  <si>
    <t xml:space="preserve">MI-19</t>
  </si>
  <si>
    <t xml:space="preserve">McAfee &amp; Lewis, Introduction to Economic Analysis (CC BY-NC-SA) §17.3 Bertrand</t>
  </si>
  <si>
    <t xml:space="preserve">Bertrand competition: why two firms can be enough for competitive prices</t>
  </si>
  <si>
    <t xml:space="preserve">Oligopoly: Bertrand Competition with Differentiated Goods</t>
  </si>
  <si>
    <t xml:space="preserve">https://youtu.be/YrnqUPW96lY</t>
  </si>
  <si>
    <t xml:space="preserve">MA-20</t>
  </si>
  <si>
    <t xml:space="preserve">Garín, Lester &amp; Sims, Intermediate Macroeconomics (free PDF) Ch.14 Classical vs Keynesian</t>
  </si>
  <si>
    <t xml:space="preserve">Classical vs Keynesian: what they actually disagree about</t>
  </si>
  <si>
    <t xml:space="preserve">Macro: Unit 2.6 -- Classical v. Keynesian Theories</t>
  </si>
  <si>
    <t xml:space="preserve">You Will Love Economics</t>
  </si>
  <si>
    <t xml:space="preserve">https://youtu.be/xXNrloLHOzI</t>
  </si>
  <si>
    <t xml:space="preserve">XC-04</t>
  </si>
  <si>
    <t xml:space="preserve">Cross-course</t>
  </si>
  <si>
    <t xml:space="preserve">Exam funnel</t>
  </si>
  <si>
    <t xml:space="preserve">Every IB Economics diagram in 15 minutes</t>
  </si>
  <si>
    <t xml:space="preserve">15 min</t>
  </si>
  <si>
    <t xml:space="preserve">MI-01…MA-18</t>
  </si>
  <si>
    <t xml:space="preserve">IB</t>
  </si>
  <si>
    <t xml:space="preserve">What is Economic Growth vs. Economic Development? | IB Microeconomics | IB Economics Exam Review</t>
  </si>
  <si>
    <t xml:space="preserve">Brad Cartwright</t>
  </si>
  <si>
    <t xml:space="preserve">https://youtu.be/4D_36i4zVFs</t>
  </si>
  <si>
    <t xml:space="preserve">EC-10</t>
  </si>
  <si>
    <t xml:space="preserve">Huntington-Klein, The Effect (free online) Ch.18 Difference-in-differences</t>
  </si>
  <si>
    <t xml:space="preserve">Difference-in-differences, intuitively</t>
  </si>
  <si>
    <t xml:space="preserve">An intuitive introduction to Difference-in-Differences</t>
  </si>
  <si>
    <t xml:space="preserve">https://youtu.be/J7q2H8aB8bQ</t>
  </si>
  <si>
    <t xml:space="preserve">GT-10</t>
  </si>
  <si>
    <t xml:space="preserve">Bonanno, Game Theory (open access, UC Davis) Ch.6 Auctions</t>
  </si>
  <si>
    <t xml:space="preserve">Auctions: first-price, second-price and why you should bid your value</t>
  </si>
  <si>
    <t xml:space="preserve">A problem with auctions - applying consumer surplus</t>
  </si>
  <si>
    <t xml:space="preserve">https://youtu.be/vQgjpRQ5wxI</t>
  </si>
  <si>
    <t xml:space="preserve">MI-20</t>
  </si>
  <si>
    <t xml:space="preserve">McAfee &amp; Lewis, Introduction to Economic Analysis (CC BY-NC-SA) §16 Monopolistic competition</t>
  </si>
  <si>
    <t xml:space="preserve">Monopolistic competition in the short and long run</t>
  </si>
  <si>
    <t xml:space="preserve">MA-21</t>
  </si>
  <si>
    <t xml:space="preserve">Garín, Lester &amp; Sims, Intermediate Macroeconomics (free PDF) Ch.11 Real business cycles</t>
  </si>
  <si>
    <t xml:space="preserve">Real business cycle theory: recessions as rational responses?</t>
  </si>
  <si>
    <t xml:space="preserve">Real-Business-Cycle (RBC) Model Part 1: The Simplest Version of the RBC Model</t>
  </si>
  <si>
    <t xml:space="preserve">https://youtu.be/FSs0OZCzPlA</t>
  </si>
  <si>
    <t xml:space="preserve">EC-11</t>
  </si>
  <si>
    <t xml:space="preserve">Huntington-Klein, The Effect (free online) Ch.19 Instrumental variables</t>
  </si>
  <si>
    <t xml:space="preserve">Instrumental variables: finding a natural experiment inside your data</t>
  </si>
  <si>
    <t xml:space="preserve">An intuitive introduction to Instrumental Variables</t>
  </si>
  <si>
    <t xml:space="preserve">https://youtu.be/FQ3d2syNfYI</t>
  </si>
  <si>
    <t xml:space="preserve">GT-11</t>
  </si>
  <si>
    <t xml:space="preserve">Bonanno, Game Theory (open access, UC Davis) Ch.3 Bargaining</t>
  </si>
  <si>
    <t xml:space="preserve">Bargaining: the ultimatum game and the Nash bargaining solution</t>
  </si>
  <si>
    <t xml:space="preserve">Bargaining game Backward Induction equilibrium Part 1</t>
  </si>
  <si>
    <t xml:space="preserve">https://youtu.be/o49kET4Jb0c</t>
  </si>
  <si>
    <t xml:space="preserve">MI-21</t>
  </si>
  <si>
    <t xml:space="preserve">McAfee &amp; Lewis, Introduction to Economic Analysis (CC BY-NC-SA) §7 Externalities</t>
  </si>
  <si>
    <t xml:space="preserve">Externalities: the social cost curve and the Pigouvian tax</t>
  </si>
  <si>
    <t xml:space="preserve">Externalities</t>
  </si>
  <si>
    <t xml:space="preserve">https://youtu.be/4V1ncb2nCG0</t>
  </si>
  <si>
    <t xml:space="preserve">MA-22</t>
  </si>
  <si>
    <t xml:space="preserve">Garín, Lester &amp; Sims, Intermediate Macroeconomics (free PDF) Ch.23 Expectations</t>
  </si>
  <si>
    <t xml:space="preserve">Rational expectations and the Lucas critique</t>
  </si>
  <si>
    <t xml:space="preserve">Rational Expectations Theory by Vidhi Kalra</t>
  </si>
  <si>
    <t xml:space="preserve">https://youtu.be/mVdrKbwal9k</t>
  </si>
  <si>
    <t xml:space="preserve">EC-12</t>
  </si>
  <si>
    <t xml:space="preserve">Huntington-Klein, The Effect (free online) Ch.20 Regression discontinuity</t>
  </si>
  <si>
    <t xml:space="preserve">Regression discontinuity: when a cutoff is your experiment</t>
  </si>
  <si>
    <t xml:space="preserve">An intuitive introduction to Regression Discontinuity</t>
  </si>
  <si>
    <t xml:space="preserve">https://youtu.be/tWRsYWSP3fM</t>
  </si>
  <si>
    <t xml:space="preserve">GT-12</t>
  </si>
  <si>
    <t xml:space="preserve">Bonanno, Game Theory (open access, UC Davis) Applications</t>
  </si>
  <si>
    <t xml:space="preserve">Cournot as a game: oligopoly through the Nash lens</t>
  </si>
  <si>
    <t xml:space="preserve">GT-02, MI-17</t>
  </si>
  <si>
    <t xml:space="preserve">Micro 4.5 - Oligopoly and Game Theory: What you need to know for the exam!</t>
  </si>
  <si>
    <t xml:space="preserve">https://youtu.be/ZbFkPoklBPw</t>
  </si>
  <si>
    <t xml:space="preserve">MI-22</t>
  </si>
  <si>
    <t xml:space="preserve">McAfee &amp; Lewis, Introduction to Economic Analysis (CC BY-NC-SA) §7.3 Coase</t>
  </si>
  <si>
    <t xml:space="preserve">The Coase theorem: when property rights fix externalities</t>
  </si>
  <si>
    <t xml:space="preserve">The Coase Theorem</t>
  </si>
  <si>
    <t xml:space="preserve">https://youtu.be/EsYDVW2na7c</t>
  </si>
  <si>
    <t xml:space="preserve">MA-23</t>
  </si>
  <si>
    <t xml:space="preserve">Garín, Lester &amp; Sims, Intermediate Macroeconomics (free PDF) Ch.27 Zero lower bound</t>
  </si>
  <si>
    <t xml:space="preserve">Quantitative easing and the zero lower bound: what the Fed actually did</t>
  </si>
  <si>
    <t xml:space="preserve">fiscal policy and deficit problems; quantitative easing</t>
  </si>
  <si>
    <t xml:space="preserve">https://youtu.be/wPnvZ8tKA74</t>
  </si>
  <si>
    <t xml:space="preserve">EC-13</t>
  </si>
  <si>
    <t xml:space="preserve">Hanck et al., Introduction to Econometrics with R (CC BY-NC-SA) Ch.10 Panel data</t>
  </si>
  <si>
    <t xml:space="preserve">Panel data and fixed effects: controlling for what you can't see</t>
  </si>
  <si>
    <t xml:space="preserve">Panel Data Models in Stata</t>
  </si>
  <si>
    <t xml:space="preserve">econometricsacademy</t>
  </si>
  <si>
    <t xml:space="preserve">https://youtu.be/TBV9QFMJqoE</t>
  </si>
  <si>
    <t xml:space="preserve">GT-13</t>
  </si>
  <si>
    <t xml:space="preserve">Evolutionary game theory: hawks, doves and stable strategies</t>
  </si>
  <si>
    <t xml:space="preserve">Game of Chicken / Hawk-Dove in Game Theory</t>
  </si>
  <si>
    <t xml:space="preserve">https://youtu.be/Q1DVAFRuAtI</t>
  </si>
  <si>
    <t xml:space="preserve">MI-23</t>
  </si>
  <si>
    <t xml:space="preserve">McAfee &amp; Lewis, Introduction to Economic Analysis (CC BY-NC-SA) §7.4 Public goods</t>
  </si>
  <si>
    <t xml:space="preserve">Public goods and the free-rider problem</t>
  </si>
  <si>
    <t xml:space="preserve">🐄 The Tragedy of the Commons | How to Avoid It?</t>
  </si>
  <si>
    <t xml:space="preserve">https://youtu.be/tLnA0AO2lXA</t>
  </si>
  <si>
    <t xml:space="preserve">MA-24</t>
  </si>
  <si>
    <t xml:space="preserve">Garín, Lester &amp; Sims, Intermediate Macroeconomics (free PDF) Ch.5 Convergence</t>
  </si>
  <si>
    <t xml:space="preserve">Why poor countries don't always catch up: convergence and the Solow puzzle</t>
  </si>
  <si>
    <t xml:space="preserve">Why Africa is so Poor (Hint: It isn’t Colonialism)</t>
  </si>
  <si>
    <t xml:space="preserve">The Why Minutes </t>
  </si>
  <si>
    <t xml:space="preserve">https://youtu.be/to0I0kS8FcU</t>
  </si>
  <si>
    <t xml:space="preserve">GT-14</t>
  </si>
  <si>
    <t xml:space="preserve">Bonanno, Game Theory (open access, UC Davis) (whole)</t>
  </si>
  <si>
    <t xml:space="preserve">ALL of Game Theory in 15 minutes</t>
  </si>
  <si>
    <t xml:space="preserve">GT-01…GT-13</t>
  </si>
  <si>
    <t xml:space="preserve">What Is Game Theory? Explained In 4 Minutes</t>
  </si>
  <si>
    <t xml:space="preserve">Ryan O'Connell, CFA, FRM</t>
  </si>
  <si>
    <t xml:space="preserve">https://youtu.be/HiJjJL-39e0</t>
  </si>
  <si>
    <t xml:space="preserve">EC-14</t>
  </si>
  <si>
    <t xml:space="preserve">Huntington-Klein, The Effect (free online) Ch.21 Event studies</t>
  </si>
  <si>
    <t xml:space="preserve">Event studies and staggered treatment: the modern DiD problem</t>
  </si>
  <si>
    <t xml:space="preserve">EC-10, EC-13</t>
  </si>
  <si>
    <t xml:space="preserve">Event Study in Stata (Step-by-Step with Simulated Data)</t>
  </si>
  <si>
    <t xml:space="preserve">In Case of Econ Struggles</t>
  </si>
  <si>
    <t xml:space="preserve">https://youtu.be/WOtVrPWvhcM</t>
  </si>
  <si>
    <t xml:space="preserve">MI-24</t>
  </si>
  <si>
    <t xml:space="preserve">McAfee &amp; Lewis, Introduction to Economic Analysis (CC BY-NC-SA) §18 Information: adverse selection</t>
  </si>
  <si>
    <t xml:space="preserve">Adverse selection and moral hazard: why used cars and insurance are hard</t>
  </si>
  <si>
    <t xml:space="preserve">Asymmetric Information, Adverse Selection &amp; Moral Hazard | Economics Explained</t>
  </si>
  <si>
    <t xml:space="preserve">INOMICS</t>
  </si>
  <si>
    <t xml:space="preserve">https://youtu.be/39QhA4qCOec</t>
  </si>
  <si>
    <t xml:space="preserve">EC-15</t>
  </si>
  <si>
    <t xml:space="preserve">Hanck et al., Introduction to Econometrics with R (CC BY-NC-SA) Ch.11 Binary outcomes</t>
  </si>
  <si>
    <t xml:space="preserve">Probit and logit: regression when y is yes/no</t>
  </si>
  <si>
    <t xml:space="preserve">Probit and Logit Models</t>
  </si>
  <si>
    <t xml:space="preserve">https://youtu.be/1cFYlMjEz-c</t>
  </si>
  <si>
    <t xml:space="preserve">MI-25</t>
  </si>
  <si>
    <t xml:space="preserve">McAfee &amp; Lewis, Introduction to Economic Analysis (CC BY-NC-SA) §13 General equilibrium</t>
  </si>
  <si>
    <t xml:space="preserve">The Edgeworth box: general equilibrium in one picture</t>
  </si>
  <si>
    <t xml:space="preserve">Edgeworth Box</t>
  </si>
  <si>
    <t xml:space="preserve">https://youtu.be/Bjg-KPQhWyM</t>
  </si>
  <si>
    <t xml:space="preserve">EC-16</t>
  </si>
  <si>
    <t xml:space="preserve">Hanck et al., Introduction to Econometrics with R (CC BY-NC-SA) Ch.14 Time series</t>
  </si>
  <si>
    <t xml:space="preserve">Time series basics: stationarity, autocorrelation and spurious regression</t>
  </si>
  <si>
    <t xml:space="preserve">Time Series ARIMA Models</t>
  </si>
  <si>
    <t xml:space="preserve">https://youtu.be/Y2khrpVo6qI</t>
  </si>
  <si>
    <t xml:space="preserve">MI-26</t>
  </si>
  <si>
    <t xml:space="preserve">McAfee &amp; Lewis, Introduction to Economic Analysis (CC BY-NC-SA) §11 Factor markets</t>
  </si>
  <si>
    <t xml:space="preserve">Labour markets and the minimum wage, with and without monopsony</t>
  </si>
  <si>
    <t xml:space="preserve">Microeconomics Unit 5 COMPLETE Summary - Factor Markets</t>
  </si>
  <si>
    <t xml:space="preserve">https://youtu.be/Cb5rAZZSJfg</t>
  </si>
  <si>
    <t xml:space="preserve">EC-17</t>
  </si>
  <si>
    <t xml:space="preserve">Hanck et al., Introduction to Econometrics with R (CC BY-NC-SA) Ch.14.4 ARIMA</t>
  </si>
  <si>
    <t xml:space="preserve">ARIMA models, explained without the alphabet soup</t>
  </si>
  <si>
    <t xml:space="preserve">MI-27</t>
  </si>
  <si>
    <t xml:space="preserve">McAfee &amp; Lewis, Introduction to Economic Analysis (CC BY-NC-SA) §4 Trade: comparative advantage</t>
  </si>
  <si>
    <t xml:space="preserve">Comparative advantage: how to work out who should make what</t>
  </si>
  <si>
    <t xml:space="preserve">absolute and comparative advantage</t>
  </si>
  <si>
    <t xml:space="preserve">https://youtu.be/Pd_qs8ueIWw</t>
  </si>
  <si>
    <t xml:space="preserve">EC-18</t>
  </si>
  <si>
    <t xml:space="preserve">Hanck et al., Introduction to Econometrics with R (CC BY-NC-SA) Ch.16 Cointegration</t>
  </si>
  <si>
    <t xml:space="preserve">Cointegration and error correction: when two random walks move together</t>
  </si>
  <si>
    <t xml:space="preserve">EC-19</t>
  </si>
  <si>
    <t xml:space="preserve">Cunningham, Causal Inference: The Mixtape (free online) Ch.5 Matching</t>
  </si>
  <si>
    <t xml:space="preserve">Propensity score matching: comparing like with like</t>
  </si>
  <si>
    <t xml:space="preserve">An intuitive introduction to Propensity Score Matching</t>
  </si>
  <si>
    <t xml:space="preserve">https://youtu.be/ACVyPp1Fy6Y</t>
  </si>
  <si>
    <t xml:space="preserve">Phase 4: compressions &amp; format experiments</t>
  </si>
  <si>
    <t xml:space="preserve">EC-20</t>
  </si>
  <si>
    <t xml:space="preserve">Huntington-Klein, The Effect (free online) Ch.13 Measurement error</t>
  </si>
  <si>
    <t xml:space="preserve">Measurement error and attenuation bias</t>
  </si>
  <si>
    <t xml:space="preserve">EC-21</t>
  </si>
  <si>
    <t xml:space="preserve">Huntington-Klein, The Effect (free online) Ch.9 Selection</t>
  </si>
  <si>
    <t xml:space="preserve">Sample selection bias (and the Heckman fix)</t>
  </si>
  <si>
    <t xml:space="preserve">The 6 Minute Review Guide on Selection Bias, ATT, and ATE</t>
  </si>
  <si>
    <t xml:space="preserve">https://youtu.be/jVkQPnARPQ0</t>
  </si>
  <si>
    <t xml:space="preserve">EC-22</t>
  </si>
  <si>
    <t xml:space="preserve">Hanck et al., Introduction to Econometrics with R (CC BY-NC-SA) Appendix: software</t>
  </si>
  <si>
    <t xml:space="preserve">Your first regression in R and Python, side by side</t>
  </si>
  <si>
    <t xml:space="preserve">Stata Tutorial: Introduction to Stata</t>
  </si>
  <si>
    <t xml:space="preserve">https://youtu.be/YMt5K68ZvjQ</t>
  </si>
  <si>
    <t xml:space="preserve">EC-23</t>
  </si>
  <si>
    <t xml:space="preserve">Huntington-Klein, The Effect (free online) Ch.22 Synthetic control</t>
  </si>
  <si>
    <t xml:space="preserve">Synthetic control: building a counterfactual country</t>
  </si>
  <si>
    <t xml:space="preserve">Synthetic Control and the Impact of Hugo Chavez with Kevin B. Grier</t>
  </si>
  <si>
    <t xml:space="preserve">https://youtu.be/puZvQPudk6E</t>
  </si>
  <si>
    <t xml:space="preserve">EC-24</t>
  </si>
  <si>
    <t xml:space="preserve">Hanck et al., Introduction to Econometrics with R (CC BY-NC-SA) Ch.4 Regression anatomy</t>
  </si>
  <si>
    <t xml:space="preserve">Frisch-Waugh-Lovell: what a coefficient really is in multiple regression</t>
  </si>
  <si>
    <t xml:space="preserve">EC-26</t>
  </si>
  <si>
    <t xml:space="preserve">Hanck et al., Introduction to Econometrics with R (CC BY-NC-SA) Ch.7 Specification</t>
  </si>
  <si>
    <t xml:space="preserve">Functional form and specification errors: when the model is wrong, not the data</t>
  </si>
  <si>
    <t xml:space="preserve">R Spatial Regression 2: All Spatial Models and Specification Tests</t>
  </si>
  <si>
    <t xml:space="preserve">https://youtu.be/MbQ4s8lwqGI</t>
  </si>
  <si>
    <t xml:space="preserve">XC-02</t>
  </si>
  <si>
    <t xml:space="preserve">5-levels format</t>
  </si>
  <si>
    <t xml:space="preserve">Supply and demand in 5 levels: high school to PhD</t>
  </si>
  <si>
    <t xml:space="preserve">IB/A-level/University</t>
  </si>
  <si>
    <t xml:space="preserve">Prospect Theory Explained at 5 Levels of Difficulty</t>
  </si>
  <si>
    <t xml:space="preserve">Pete Judo</t>
  </si>
  <si>
    <t xml:space="preserve">https://youtu.be/RfS11SRQC20</t>
  </si>
  <si>
    <t xml:space="preserve">XC-03</t>
  </si>
  <si>
    <t xml:space="preserve">History-of-an-idea format</t>
  </si>
  <si>
    <t xml:space="preserve">How Solow discovered that capital isn't what makes countries rich</t>
  </si>
  <si>
    <t xml:space="preserve">15-20 min</t>
  </si>
  <si>
    <t xml:space="preserve">How We Discovered North Korea Is Poor</t>
  </si>
  <si>
    <t xml:space="preserve">Market Power</t>
  </si>
  <si>
    <t xml:space="preserve">https://youtu.be/WF4jfq-ny_Q</t>
  </si>
  <si>
    <t xml:space="preserve">EC-25</t>
  </si>
  <si>
    <t xml:space="preserve">Cunningham, Causal Inference: The Mixtape (free online) (whole)</t>
  </si>
  <si>
    <t xml:space="preserve">ALL of Econometrics in 20 minutes</t>
  </si>
  <si>
    <t xml:space="preserve">EC-01…EC-24</t>
  </si>
  <si>
    <t xml:space="preserve">Econometrics // Lecture 1: Introduction</t>
  </si>
  <si>
    <t xml:space="preserve">https://youtu.be/vEP4RIOKuE4</t>
  </si>
  <si>
    <t xml:space="preserve">XC-01</t>
  </si>
  <si>
    <t xml:space="preserve">Compression format</t>
  </si>
  <si>
    <t xml:space="preserve">The Entire Economics Degree, explained properly, in 30 minutes</t>
  </si>
  <si>
    <t xml:space="preserve">30 min</t>
  </si>
  <si>
    <t xml:space="preserve">MI-28, MA-26, GT-14, EC-25</t>
  </si>
  <si>
    <t xml:space="preserve">Video 1</t>
  </si>
  <si>
    <t xml:space="preserve">Video 2</t>
  </si>
  <si>
    <t xml:space="preserve">Video 3</t>
  </si>
  <si>
    <t xml:space="preserve">MI-01  Supply and demand, properly: what shifts a curve and what moves along it</t>
  </si>
  <si>
    <t xml:space="preserve">MA-01  GDP, properly: three ways to measure one number</t>
  </si>
  <si>
    <t xml:space="preserve">MI-02  How to solve elasticity problems (point, arc, revenue test)</t>
  </si>
  <si>
    <t xml:space="preserve">MA-02  Inflation, the CPI and the GDP deflator (and why they disagree)</t>
  </si>
  <si>
    <t xml:space="preserve">MI-03  How to calculate opportunity cost (and why the PPF is curved)</t>
  </si>
  <si>
    <t xml:space="preserve">MA-03  The aggregate production function and diminishing returns to capital</t>
  </si>
  <si>
    <t xml:space="preserve">MI-04  Consumer and producer surplus: how to calculate them from a graph</t>
  </si>
  <si>
    <t xml:space="preserve">MA-04  The Solow growth model, part 1: the diagram and the steady state</t>
  </si>
  <si>
    <t xml:space="preserve">MI-05  Price ceilings, floors and taxes: who really pays?</t>
  </si>
  <si>
    <t xml:space="preserve">MA-05  Solow part 2: population, technology and the golden rule</t>
  </si>
  <si>
    <t xml:space="preserve">MI-06  Indifference curves and the budget constraint, visualised</t>
  </si>
  <si>
    <t xml:space="preserve">MA-06  Growth accounting: how much of growth is capital, labour and ideas?</t>
  </si>
  <si>
    <t xml:space="preserve">MI-07  Income vs substitution effects (the Slutsky decomposition, step by step)</t>
  </si>
  <si>
    <t xml:space="preserve">MA-07  Consumption smoothing: the two-period model and permanent income</t>
  </si>
  <si>
    <t xml:space="preserve">MI-29  The labour-leisure choice: why higher wages don't always mean more work</t>
  </si>
  <si>
    <t xml:space="preserve">MA-26  Investment: Tobin's q and the user cost of capital</t>
  </si>
  <si>
    <t xml:space="preserve">MI-30  Saving and borrowing: the intertemporal budget constraint</t>
  </si>
  <si>
    <t xml:space="preserve">MA-08  Unemployment: natural rate, cyclical and the labour market diagram</t>
  </si>
  <si>
    <t xml:space="preserve">MI-08  Marginal utility and why demand slopes down</t>
  </si>
  <si>
    <t xml:space="preserve">MA-09  How banks create money (the balance-sheet version)</t>
  </si>
  <si>
    <t xml:space="preserve">MI-09  How to calculate marginal, average and total cost (and draw the curves)</t>
  </si>
  <si>
    <t xml:space="preserve">MA-10  The IS curve, derived: goods-market equilibrium and the multiplier</t>
  </si>
  <si>
    <t xml:space="preserve">MI-10  Economies of scale and the long-run average cost curve</t>
  </si>
  <si>
    <t xml:space="preserve">MA-11  The LM curve, derived: money-market equilibrium</t>
  </si>
  <si>
    <t xml:space="preserve">MI-11  Cobb-Douglas: the production function that runs economics</t>
  </si>
  <si>
    <t xml:space="preserve">MA-12  The IS-LM model: fiscal and monetary policy in one diagram</t>
  </si>
  <si>
    <t xml:space="preserve">GT-01  Game theory from zero: payoff matrices and dominant strategies</t>
  </si>
  <si>
    <t xml:space="preserve">EC-01  Simple linear regression: what OLS actually minimises (and why)</t>
  </si>
  <si>
    <t xml:space="preserve">MI-28  ALL of Intermediate Microeconomics in 20 minutes</t>
  </si>
  <si>
    <t xml:space="preserve">MI-12  Perfect competition: profit maximisation and the shutdown rule</t>
  </si>
  <si>
    <t xml:space="preserve">MA-13  The AD-AS model: demand and supply shocks, short run to long run</t>
  </si>
  <si>
    <t xml:space="preserve">GT-02  How to find a Nash equilibrium in a 2×2 game</t>
  </si>
  <si>
    <t xml:space="preserve">EC-02  R² explained: what it measures and the three ways people misuse it</t>
  </si>
  <si>
    <t xml:space="preserve">MI-13  From short run to long run in perfect competition (why profits vanish)</t>
  </si>
  <si>
    <t xml:space="preserve">MA-14  The Phillips curve: why it worked, broke, and came back</t>
  </si>
  <si>
    <t xml:space="preserve">GT-03  The prisoner's dilemma: why rational players lose</t>
  </si>
  <si>
    <t xml:space="preserve">EC-03  Standard errors, t-tests and p-values in a regression table</t>
  </si>
  <si>
    <t xml:space="preserve">MI-14  Monopoly: how to find price, quantity and deadweight loss</t>
  </si>
  <si>
    <t xml:space="preserve">MA-15  Monetary policy and the Taylor rule: how central banks set rates</t>
  </si>
  <si>
    <t xml:space="preserve">GT-04  Sequential games and backward induction (game trees)</t>
  </si>
  <si>
    <t xml:space="preserve">EC-04  Multiple regression and omitted variable bias, visualised</t>
  </si>
  <si>
    <t xml:space="preserve">MA-25  ALL of Intermediate Macroeconomics in 20 minutes</t>
  </si>
  <si>
    <t xml:space="preserve">MI-15  How to calculate deadweight loss (tax, monopoly, price control)</t>
  </si>
  <si>
    <t xml:space="preserve">MA-16  Fiscal policy, deficits and debt: the government budget constraint</t>
  </si>
  <si>
    <t xml:space="preserve">GT-05  Subgame perfect equilibrium: the threats that aren't credible</t>
  </si>
  <si>
    <t xml:space="preserve">EC-05  Multicollinearity: why your coefficients went crazy</t>
  </si>
  <si>
    <t xml:space="preserve">MI-16  Price discrimination: why the same seat costs three prices</t>
  </si>
  <si>
    <t xml:space="preserve">MA-17  Exchange rates and the balance of payments, explained</t>
  </si>
  <si>
    <t xml:space="preserve">GT-06  Mixed strategies: how to solve for the probabilities</t>
  </si>
  <si>
    <t xml:space="preserve">EC-06  Heteroskedasticity and robust standard errors</t>
  </si>
  <si>
    <t xml:space="preserve">EC-07  Logs in regression: how to read elasticities and percent changes</t>
  </si>
  <si>
    <t xml:space="preserve">GT-07  Repeated games and tit-for-tat: how cooperation survives</t>
  </si>
  <si>
    <t xml:space="preserve">MI-17  How to solve a Cournot oligopoly problem</t>
  </si>
  <si>
    <t xml:space="preserve">MA-18  The Mundell-Fleming model: the trilemma every central bank faces</t>
  </si>
  <si>
    <t xml:space="preserve">EC-08  Correlation vs causation: the DAG way of thinking</t>
  </si>
  <si>
    <t xml:space="preserve">GT-08  Games with incomplete information: Bayesian Nash equilibrium</t>
  </si>
  <si>
    <t xml:space="preserve">MI-18  How to solve a Stackelberg problem (and why moving first pays)</t>
  </si>
  <si>
    <t xml:space="preserve">MA-19  Bank runs and financial crises: the Diamond-Dybvig idea</t>
  </si>
  <si>
    <t xml:space="preserve">EC-09  Potential outcomes and the randomised experiment: the gold standard</t>
  </si>
  <si>
    <t xml:space="preserve">GT-09  Signalling games: why degrees exist (Spence)</t>
  </si>
  <si>
    <t xml:space="preserve">MI-19  Bertrand competition: why two firms can be enough for competitive prices</t>
  </si>
  <si>
    <t xml:space="preserve">MA-20  Classical vs Keynesian: what they actually disagree about</t>
  </si>
  <si>
    <t xml:space="preserve">XC-04  Every IB Economics diagram in 15 minutes</t>
  </si>
  <si>
    <t xml:space="preserve">EC-10  Difference-in-differences, intuitively</t>
  </si>
  <si>
    <t xml:space="preserve">GT-10  Auctions: first-price, second-price and why you should bid your value</t>
  </si>
  <si>
    <t xml:space="preserve">MI-20  Monopolistic competition in the short and long run</t>
  </si>
  <si>
    <t xml:space="preserve">MA-21  Real business cycle theory: recessions as rational responses?</t>
  </si>
  <si>
    <t xml:space="preserve">EC-11  Instrumental variables: finding a natural experiment inside your data</t>
  </si>
  <si>
    <t xml:space="preserve">GT-11  Bargaining: the ultimatum game and the Nash bargaining solution</t>
  </si>
  <si>
    <t xml:space="preserve">MI-21  Externalities: the social cost curve and the Pigouvian tax</t>
  </si>
  <si>
    <t xml:space="preserve">MA-22  Rational expectations and the Lucas critique</t>
  </si>
  <si>
    <t xml:space="preserve">EC-12  Regression discontinuity: when a cutoff is your experiment</t>
  </si>
  <si>
    <t xml:space="preserve">GT-12  Cournot as a game: oligopoly through the Nash lens</t>
  </si>
  <si>
    <t xml:space="preserve">MI-22  The Coase theorem: when property rights fix externalities</t>
  </si>
  <si>
    <t xml:space="preserve">MA-23  Quantitative easing and the zero lower bound: what the Fed actually did</t>
  </si>
  <si>
    <t xml:space="preserve">EC-13  Panel data and fixed effects: controlling for what you can't see</t>
  </si>
  <si>
    <t xml:space="preserve">GT-13  Evolutionary game theory: hawks, doves and stable strategies</t>
  </si>
  <si>
    <t xml:space="preserve">MI-23  Public goods and the free-rider problem</t>
  </si>
  <si>
    <t xml:space="preserve">MA-24  Why poor countries don't always catch up: convergence and the Solow puzzle</t>
  </si>
  <si>
    <t xml:space="preserve">GT-14  ALL of Game Theory in 15 minutes</t>
  </si>
  <si>
    <t xml:space="preserve">EC-14  Event studies and staggered treatment: the modern DiD problem</t>
  </si>
  <si>
    <t xml:space="preserve">MI-24  Adverse selection and moral hazard: why used cars and insurance are hard</t>
  </si>
  <si>
    <t xml:space="preserve">EC-15  Probit and logit: regression when y is yes/no</t>
  </si>
  <si>
    <t xml:space="preserve">MI-25  The Edgeworth box: general equilibrium in one picture</t>
  </si>
  <si>
    <t xml:space="preserve">EC-16  Time series basics: stationarity, autocorrelation and spurious regression</t>
  </si>
  <si>
    <t xml:space="preserve">MI-26  Labour markets and the minimum wage, with and without monopsony</t>
  </si>
  <si>
    <t xml:space="preserve">EC-17  ARIMA models, explained without the alphabet soup</t>
  </si>
  <si>
    <t xml:space="preserve">MI-27  Comparative advantage: how to work out who should make what</t>
  </si>
  <si>
    <t xml:space="preserve">EC-18  Cointegration and error correction: when two random walks move together</t>
  </si>
  <si>
    <t xml:space="preserve">EC-19  Propensity score matching: comparing like with like</t>
  </si>
  <si>
    <t xml:space="preserve">EC-20  Measurement error and attenuation bias</t>
  </si>
  <si>
    <t xml:space="preserve">EC-21  Sample selection bias (and the Heckman fix)</t>
  </si>
  <si>
    <t xml:space="preserve">EC-22  Your first regression in R and Python, side by side</t>
  </si>
  <si>
    <t xml:space="preserve">EC-23  Synthetic control: building a counterfactual country</t>
  </si>
  <si>
    <t xml:space="preserve">EC-24  Frisch-Waugh-Lovell: what a coefficient really is in multiple regression</t>
  </si>
  <si>
    <t xml:space="preserve">EC-26  Functional form and specification errors: when the model is wrong, not the data</t>
  </si>
  <si>
    <t xml:space="preserve">XC-02  Supply and demand in 5 levels: high school to PhD</t>
  </si>
  <si>
    <t xml:space="preserve">XC-03  How Solow discovered that capital isn't what makes countries rich</t>
  </si>
  <si>
    <t xml:space="preserve">EC-25  ALL of Econometrics in 20 minutes</t>
  </si>
  <si>
    <t xml:space="preserve">XC-01  The Entire Economics Degree, explained properly, in 30 minutes</t>
  </si>
  <si>
    <t xml:space="preserve">Source section</t>
  </si>
  <si>
    <t xml:space="preserve">Length</t>
  </si>
  <si>
    <t xml:space="preserve">Production order</t>
  </si>
  <si>
    <t xml:space="preserve">Progress</t>
  </si>
  <si>
    <t xml:space="preserve">By status</t>
  </si>
  <si>
    <t xml:space="preserve">By course</t>
  </si>
  <si>
    <t xml:space="preserve">Videos</t>
  </si>
  <si>
    <t xml:space="preserve">Published</t>
  </si>
  <si>
    <t xml:space="preserve">By demand signal</t>
  </si>
  <si>
    <t xml:space="preserve">By supply age</t>
  </si>
  <si>
    <t xml:space="preserve">Scripted</t>
  </si>
  <si>
    <t xml:space="preserve">Audio done</t>
  </si>
  <si>
    <t xml:space="preserve">Rendered</t>
  </si>
  <si>
    <t xml:space="preserve">Total</t>
  </si>
  <si>
    <t xml:space="preserve">Next up (first 5 not yet published)</t>
  </si>
</sst>
</file>

<file path=xl/styles.xml><?xml version="1.0" encoding="utf-8"?>
<styleSheet xmlns="http://schemas.openxmlformats.org/spreadsheetml/2006/main">
  <numFmts count="5">
    <numFmt numFmtId="164" formatCode="General"/>
    <numFmt numFmtId="165" formatCode="0.00"/>
    <numFmt numFmtId="166" formatCode="#,##0"/>
    <numFmt numFmtId="167" formatCode="yyyy\-mm\-dd"/>
    <numFmt numFmtId="168" formatCode="General"/>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color rgb="FFFFFFFF"/>
      <name val="Arial"/>
      <family val="0"/>
      <charset val="1"/>
    </font>
    <font>
      <sz val="11"/>
      <name val="Arial"/>
      <family val="0"/>
      <charset val="1"/>
    </font>
    <font>
      <u val="single"/>
      <sz val="11"/>
      <color rgb="FF0563C1"/>
      <name val="Arial"/>
      <family val="0"/>
      <charset val="1"/>
    </font>
    <font>
      <sz val="11"/>
      <color rgb="FF808080"/>
      <name val="Arial"/>
      <family val="0"/>
      <charset val="1"/>
    </font>
    <font>
      <b val="true"/>
      <sz val="14"/>
      <name val="Arial"/>
      <family val="0"/>
      <charset val="1"/>
    </font>
    <font>
      <b val="true"/>
      <sz val="11"/>
      <name val="Arial"/>
      <family val="0"/>
      <charset val="1"/>
    </font>
  </fonts>
  <fills count="4">
    <fill>
      <patternFill patternType="none"/>
    </fill>
    <fill>
      <patternFill patternType="gray125"/>
    </fill>
    <fill>
      <patternFill patternType="solid">
        <fgColor rgb="FF145A32"/>
        <bgColor rgb="FF008000"/>
      </patternFill>
    </fill>
    <fill>
      <patternFill patternType="solid">
        <fgColor rgb="FFFFFF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45A3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D6EAF8"/>
          <bgColor rgb="FF000000"/>
        </patternFill>
      </fill>
    </dxf>
    <dxf>
      <fill>
        <patternFill patternType="solid">
          <fgColor rgb="FF0563C1"/>
          <bgColor rgb="FF000000"/>
        </patternFill>
      </fill>
    </dxf>
    <dxf>
      <fill>
        <patternFill patternType="solid">
          <fgColor rgb="FFFFFFCC"/>
          <bgColor rgb="FF000000"/>
        </patternFill>
      </fill>
    </dxf>
    <dxf>
      <fill>
        <patternFill>
          <bgColor rgb="FFC6EFCE"/>
        </patternFill>
      </fill>
    </dxf>
    <dxf>
      <fill>
        <patternFill>
          <bgColor rgb="FFFFEB9C"/>
        </patternFill>
      </fill>
    </dxf>
    <dxf>
      <fill>
        <patternFill>
          <bgColor rgb="FFF2F2F2"/>
        </patternFill>
      </fill>
    </dxf>
    <dxf>
      <fill>
        <patternFill>
          <bgColor rgb="FFD6EAF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6EAF8"/>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45A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youtu.be/op70yS_7du8" TargetMode="External"/><Relationship Id="rId2" Type="http://schemas.openxmlformats.org/officeDocument/2006/relationships/hyperlink" Target="https://youtu.be/mgtVQQALWQI" TargetMode="External"/><Relationship Id="rId3" Type="http://schemas.openxmlformats.org/officeDocument/2006/relationships/hyperlink" Target="https://youtu.be/-2xh2Fz_XNo" TargetMode="External"/><Relationship Id="rId4" Type="http://schemas.openxmlformats.org/officeDocument/2006/relationships/hyperlink" Target="https://youtu.be/6xJe_oJybDs" TargetMode="External"/><Relationship Id="rId5" Type="http://schemas.openxmlformats.org/officeDocument/2006/relationships/hyperlink" Target="https://youtu.be/VZrNbHCkv6A" TargetMode="External"/><Relationship Id="rId6" Type="http://schemas.openxmlformats.org/officeDocument/2006/relationships/hyperlink" Target="https://youtu.be/QVlb4ciaKyA" TargetMode="External"/><Relationship Id="rId7" Type="http://schemas.openxmlformats.org/officeDocument/2006/relationships/hyperlink" Target="https://youtu.be/0hBIwRqTwmY" TargetMode="External"/><Relationship Id="rId8" Type="http://schemas.openxmlformats.org/officeDocument/2006/relationships/hyperlink" Target="https://youtu.be/aywhE3BpJOs" TargetMode="External"/><Relationship Id="rId9" Type="http://schemas.openxmlformats.org/officeDocument/2006/relationships/hyperlink" Target="https://youtu.be/a2iKaTqgrxs" TargetMode="External"/><Relationship Id="rId10" Type="http://schemas.openxmlformats.org/officeDocument/2006/relationships/hyperlink" Target="https://youtu.be/s5PFwvwNKiY" TargetMode="External"/><Relationship Id="rId11" Type="http://schemas.openxmlformats.org/officeDocument/2006/relationships/hyperlink" Target="https://youtu.be/P_N2hr9aMow" TargetMode="External"/><Relationship Id="rId12" Type="http://schemas.openxmlformats.org/officeDocument/2006/relationships/hyperlink" Target="https://youtu.be/GDdM_MWh6xY" TargetMode="External"/><Relationship Id="rId13" Type="http://schemas.openxmlformats.org/officeDocument/2006/relationships/hyperlink" Target="https://youtu.be/VRC-DVqKYCE" TargetMode="External"/><Relationship Id="rId14" Type="http://schemas.openxmlformats.org/officeDocument/2006/relationships/hyperlink" Target="https://youtu.be/0bQh3J82edU" TargetMode="External"/><Relationship Id="rId15" Type="http://schemas.openxmlformats.org/officeDocument/2006/relationships/hyperlink" Target="https://youtu.be/R-VCNJKsvwg" TargetMode="External"/><Relationship Id="rId16" Type="http://schemas.openxmlformats.org/officeDocument/2006/relationships/hyperlink" Target="https://youtu.be/2j780pByEeI" TargetMode="External"/><Relationship Id="rId17" Type="http://schemas.openxmlformats.org/officeDocument/2006/relationships/hyperlink" Target="https://youtu.be/jEdU6wizLF0" TargetMode="External"/><Relationship Id="rId18" Type="http://schemas.openxmlformats.org/officeDocument/2006/relationships/hyperlink" Target="https://youtu.be/3FudpA_fCGQ" TargetMode="External"/><Relationship Id="rId19" Type="http://schemas.openxmlformats.org/officeDocument/2006/relationships/hyperlink" Target="https://youtu.be/DRLS86XfHLg" TargetMode="External"/><Relationship Id="rId20" Type="http://schemas.openxmlformats.org/officeDocument/2006/relationships/hyperlink" Target="https://youtu.be/3zAvyTKj5-0" TargetMode="External"/><Relationship Id="rId21" Type="http://schemas.openxmlformats.org/officeDocument/2006/relationships/hyperlink" Target="https://youtu.be/3-j-rZ6hz74" TargetMode="External"/><Relationship Id="rId22" Type="http://schemas.openxmlformats.org/officeDocument/2006/relationships/hyperlink" Target="https://youtu.be/pAX7mR4ii5Y" TargetMode="External"/><Relationship Id="rId23" Type="http://schemas.openxmlformats.org/officeDocument/2006/relationships/hyperlink" Target="https://youtu.be/URIjtaP6SPk" TargetMode="External"/><Relationship Id="rId24" Type="http://schemas.openxmlformats.org/officeDocument/2006/relationships/hyperlink" Target="https://youtu.be/pAX7mR4ii5Y" TargetMode="External"/><Relationship Id="rId25" Type="http://schemas.openxmlformats.org/officeDocument/2006/relationships/hyperlink" Target="https://youtu.be/rYsNHYgIUL4" TargetMode="External"/><Relationship Id="rId26" Type="http://schemas.openxmlformats.org/officeDocument/2006/relationships/hyperlink" Target="https://youtu.be/Q3hoC8lDCBo" TargetMode="External"/><Relationship Id="rId27" Type="http://schemas.openxmlformats.org/officeDocument/2006/relationships/hyperlink" Target="https://youtu.be/3Y1WpytiHKE" TargetMode="External"/><Relationship Id="rId28" Type="http://schemas.openxmlformats.org/officeDocument/2006/relationships/hyperlink" Target="https://youtu.be/8tAPsX0YuNE" TargetMode="External"/><Relationship Id="rId29" Type="http://schemas.openxmlformats.org/officeDocument/2006/relationships/hyperlink" Target="https://youtu.be/NngM_qdDMm8" TargetMode="External"/><Relationship Id="rId30" Type="http://schemas.openxmlformats.org/officeDocument/2006/relationships/hyperlink" Target="https://youtu.be/8ioYb2DZdbo" TargetMode="External"/><Relationship Id="rId31" Type="http://schemas.openxmlformats.org/officeDocument/2006/relationships/hyperlink" Target="https://youtu.be/xP4y2m16NH8" TargetMode="External"/><Relationship Id="rId32" Type="http://schemas.openxmlformats.org/officeDocument/2006/relationships/hyperlink" Target="https://youtu.be/3EOlRF7EjKU" TargetMode="External"/><Relationship Id="rId33" Type="http://schemas.openxmlformats.org/officeDocument/2006/relationships/hyperlink" Target="https://youtu.be/8tAPsX0YuNE" TargetMode="External"/><Relationship Id="rId34" Type="http://schemas.openxmlformats.org/officeDocument/2006/relationships/hyperlink" Target="https://youtu.be/krUu_u63MiA" TargetMode="External"/><Relationship Id="rId35" Type="http://schemas.openxmlformats.org/officeDocument/2006/relationships/hyperlink" Target="https://youtu.be/-Fk_2iRfC18" TargetMode="External"/><Relationship Id="rId36" Type="http://schemas.openxmlformats.org/officeDocument/2006/relationships/hyperlink" Target="https://youtu.be/sCKRV8Yps-Y" TargetMode="External"/><Relationship Id="rId37" Type="http://schemas.openxmlformats.org/officeDocument/2006/relationships/hyperlink" Target="https://youtu.be/o86xvmUYo-Q" TargetMode="External"/><Relationship Id="rId38" Type="http://schemas.openxmlformats.org/officeDocument/2006/relationships/hyperlink" Target="https://youtu.be/XG6jWY0SvC0" TargetMode="External"/><Relationship Id="rId39" Type="http://schemas.openxmlformats.org/officeDocument/2006/relationships/hyperlink" Target="https://youtu.be/IMkLAP_aj3I" TargetMode="External"/><Relationship Id="rId40" Type="http://schemas.openxmlformats.org/officeDocument/2006/relationships/hyperlink" Target="https://youtu.be/0Hk59luySfg" TargetMode="External"/><Relationship Id="rId41" Type="http://schemas.openxmlformats.org/officeDocument/2006/relationships/hyperlink" Target="https://youtu.be/17nWWWUrUcg" TargetMode="External"/><Relationship Id="rId42" Type="http://schemas.openxmlformats.org/officeDocument/2006/relationships/hyperlink" Target="https://youtu.be/LeScGp91xfs" TargetMode="External"/><Relationship Id="rId43" Type="http://schemas.openxmlformats.org/officeDocument/2006/relationships/hyperlink" Target="https://youtu.be/kF1c8ujpTYY" TargetMode="External"/><Relationship Id="rId44" Type="http://schemas.openxmlformats.org/officeDocument/2006/relationships/hyperlink" Target="https://youtu.be/DAF81UKWCOI" TargetMode="External"/><Relationship Id="rId45" Type="http://schemas.openxmlformats.org/officeDocument/2006/relationships/hyperlink" Target="https://youtu.be/dTTFzBlpdKA" TargetMode="External"/><Relationship Id="rId46" Type="http://schemas.openxmlformats.org/officeDocument/2006/relationships/hyperlink" Target="https://youtu.be/VQEPk_SIYT0" TargetMode="External"/><Relationship Id="rId47" Type="http://schemas.openxmlformats.org/officeDocument/2006/relationships/hyperlink" Target="https://youtu.be/IZ1iAYhQnwg" TargetMode="External"/><Relationship Id="rId48" Type="http://schemas.openxmlformats.org/officeDocument/2006/relationships/hyperlink" Target="https://youtu.be/JKRBpJZ92QM" TargetMode="External"/><Relationship Id="rId49" Type="http://schemas.openxmlformats.org/officeDocument/2006/relationships/hyperlink" Target="https://youtu.be/S49oKtISkqI" TargetMode="External"/><Relationship Id="rId50" Type="http://schemas.openxmlformats.org/officeDocument/2006/relationships/hyperlink" Target="https://youtu.be/DMzBRYqAHrE" TargetMode="External"/><Relationship Id="rId51" Type="http://schemas.openxmlformats.org/officeDocument/2006/relationships/hyperlink" Target="https://youtu.be/NZCSt9WkpkI" TargetMode="External"/><Relationship Id="rId52" Type="http://schemas.openxmlformats.org/officeDocument/2006/relationships/hyperlink" Target="https://youtu.be/A0sR5pz69IE" TargetMode="External"/><Relationship Id="rId53" Type="http://schemas.openxmlformats.org/officeDocument/2006/relationships/hyperlink" Target="https://youtu.be/An_2r6Ae_28" TargetMode="External"/><Relationship Id="rId54" Type="http://schemas.openxmlformats.org/officeDocument/2006/relationships/hyperlink" Target="https://youtu.be/U7K2OTQj4ZQ" TargetMode="External"/><Relationship Id="rId55" Type="http://schemas.openxmlformats.org/officeDocument/2006/relationships/hyperlink" Target="https://youtu.be/oJgGuRG_lNY" TargetMode="External"/><Relationship Id="rId56" Type="http://schemas.openxmlformats.org/officeDocument/2006/relationships/hyperlink" Target="https://youtu.be/LMCODkeeDtE" TargetMode="External"/><Relationship Id="rId57" Type="http://schemas.openxmlformats.org/officeDocument/2006/relationships/hyperlink" Target="https://youtu.be/L6KmmdVISj4" TargetMode="External"/><Relationship Id="rId58" Type="http://schemas.openxmlformats.org/officeDocument/2006/relationships/hyperlink" Target="https://youtu.be/UB1A62u9fBE" TargetMode="External"/><Relationship Id="rId59" Type="http://schemas.openxmlformats.org/officeDocument/2006/relationships/hyperlink" Target="https://youtu.be/g35WfYYFKRc" TargetMode="External"/><Relationship Id="rId60" Type="http://schemas.openxmlformats.org/officeDocument/2006/relationships/hyperlink" Target="https://youtu.be/YrnqUPW96lY" TargetMode="External"/><Relationship Id="rId61" Type="http://schemas.openxmlformats.org/officeDocument/2006/relationships/hyperlink" Target="https://youtu.be/xXNrloLHOzI" TargetMode="External"/><Relationship Id="rId62" Type="http://schemas.openxmlformats.org/officeDocument/2006/relationships/hyperlink" Target="https://youtu.be/4D_36i4zVFs" TargetMode="External"/><Relationship Id="rId63" Type="http://schemas.openxmlformats.org/officeDocument/2006/relationships/hyperlink" Target="https://youtu.be/J7q2H8aB8bQ" TargetMode="External"/><Relationship Id="rId64" Type="http://schemas.openxmlformats.org/officeDocument/2006/relationships/hyperlink" Target="https://youtu.be/vQgjpRQ5wxI" TargetMode="External"/><Relationship Id="rId65" Type="http://schemas.openxmlformats.org/officeDocument/2006/relationships/hyperlink" Target="https://youtu.be/XG6jWY0SvC0" TargetMode="External"/><Relationship Id="rId66" Type="http://schemas.openxmlformats.org/officeDocument/2006/relationships/hyperlink" Target="https://youtu.be/FSs0OZCzPlA" TargetMode="External"/><Relationship Id="rId67" Type="http://schemas.openxmlformats.org/officeDocument/2006/relationships/hyperlink" Target="https://youtu.be/FQ3d2syNfYI" TargetMode="External"/><Relationship Id="rId68" Type="http://schemas.openxmlformats.org/officeDocument/2006/relationships/hyperlink" Target="https://youtu.be/o49kET4Jb0c" TargetMode="External"/><Relationship Id="rId69" Type="http://schemas.openxmlformats.org/officeDocument/2006/relationships/hyperlink" Target="https://youtu.be/4V1ncb2nCG0" TargetMode="External"/><Relationship Id="rId70" Type="http://schemas.openxmlformats.org/officeDocument/2006/relationships/hyperlink" Target="https://youtu.be/mVdrKbwal9k" TargetMode="External"/><Relationship Id="rId71" Type="http://schemas.openxmlformats.org/officeDocument/2006/relationships/hyperlink" Target="https://youtu.be/tWRsYWSP3fM" TargetMode="External"/><Relationship Id="rId72" Type="http://schemas.openxmlformats.org/officeDocument/2006/relationships/hyperlink" Target="https://youtu.be/ZbFkPoklBPw" TargetMode="External"/><Relationship Id="rId73" Type="http://schemas.openxmlformats.org/officeDocument/2006/relationships/hyperlink" Target="https://youtu.be/EsYDVW2na7c" TargetMode="External"/><Relationship Id="rId74" Type="http://schemas.openxmlformats.org/officeDocument/2006/relationships/hyperlink" Target="https://youtu.be/wPnvZ8tKA74" TargetMode="External"/><Relationship Id="rId75" Type="http://schemas.openxmlformats.org/officeDocument/2006/relationships/hyperlink" Target="https://youtu.be/TBV9QFMJqoE" TargetMode="External"/><Relationship Id="rId76" Type="http://schemas.openxmlformats.org/officeDocument/2006/relationships/hyperlink" Target="https://youtu.be/Q1DVAFRuAtI" TargetMode="External"/><Relationship Id="rId77" Type="http://schemas.openxmlformats.org/officeDocument/2006/relationships/hyperlink" Target="https://youtu.be/tLnA0AO2lXA" TargetMode="External"/><Relationship Id="rId78" Type="http://schemas.openxmlformats.org/officeDocument/2006/relationships/hyperlink" Target="https://youtu.be/to0I0kS8FcU" TargetMode="External"/><Relationship Id="rId79" Type="http://schemas.openxmlformats.org/officeDocument/2006/relationships/hyperlink" Target="https://youtu.be/HiJjJL-39e0" TargetMode="External"/><Relationship Id="rId80" Type="http://schemas.openxmlformats.org/officeDocument/2006/relationships/hyperlink" Target="https://youtu.be/WOtVrPWvhcM" TargetMode="External"/><Relationship Id="rId81" Type="http://schemas.openxmlformats.org/officeDocument/2006/relationships/hyperlink" Target="https://youtu.be/39QhA4qCOec" TargetMode="External"/><Relationship Id="rId82" Type="http://schemas.openxmlformats.org/officeDocument/2006/relationships/hyperlink" Target="https://youtu.be/1cFYlMjEz-c" TargetMode="External"/><Relationship Id="rId83" Type="http://schemas.openxmlformats.org/officeDocument/2006/relationships/hyperlink" Target="https://youtu.be/Bjg-KPQhWyM" TargetMode="External"/><Relationship Id="rId84" Type="http://schemas.openxmlformats.org/officeDocument/2006/relationships/hyperlink" Target="https://youtu.be/Y2khrpVo6qI" TargetMode="External"/><Relationship Id="rId85" Type="http://schemas.openxmlformats.org/officeDocument/2006/relationships/hyperlink" Target="https://youtu.be/Cb5rAZZSJfg" TargetMode="External"/><Relationship Id="rId86" Type="http://schemas.openxmlformats.org/officeDocument/2006/relationships/hyperlink" Target="https://youtu.be/Y2khrpVo6qI" TargetMode="External"/><Relationship Id="rId87" Type="http://schemas.openxmlformats.org/officeDocument/2006/relationships/hyperlink" Target="https://youtu.be/Pd_qs8ueIWw" TargetMode="External"/><Relationship Id="rId88" Type="http://schemas.openxmlformats.org/officeDocument/2006/relationships/hyperlink" Target="https://youtu.be/ACVyPp1Fy6Y" TargetMode="External"/><Relationship Id="rId89" Type="http://schemas.openxmlformats.org/officeDocument/2006/relationships/hyperlink" Target="https://youtu.be/jVkQPnARPQ0" TargetMode="External"/><Relationship Id="rId90" Type="http://schemas.openxmlformats.org/officeDocument/2006/relationships/hyperlink" Target="https://youtu.be/YMt5K68ZvjQ" TargetMode="External"/><Relationship Id="rId91" Type="http://schemas.openxmlformats.org/officeDocument/2006/relationships/hyperlink" Target="https://youtu.be/puZvQPudk6E" TargetMode="External"/><Relationship Id="rId92" Type="http://schemas.openxmlformats.org/officeDocument/2006/relationships/hyperlink" Target="https://youtu.be/MbQ4s8lwqGI" TargetMode="External"/><Relationship Id="rId93" Type="http://schemas.openxmlformats.org/officeDocument/2006/relationships/hyperlink" Target="https://youtu.be/RfS11SRQC20" TargetMode="External"/><Relationship Id="rId94" Type="http://schemas.openxmlformats.org/officeDocument/2006/relationships/hyperlink" Target="https://youtu.be/WF4jfq-ny_Q" TargetMode="External"/><Relationship Id="rId95" Type="http://schemas.openxmlformats.org/officeDocument/2006/relationships/hyperlink" Target="https://youtu.be/vEP4RIOKuE4" TargetMode="External"/><Relationship Id="rId96" Type="http://schemas.openxmlformats.org/officeDocument/2006/relationships/hyperlink" Target="https://youtu.be/NngM_qdDMm8" TargetMode="External"/><Relationship Id="rId97"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1" t="s">
        <v>8</v>
      </c>
    </row>
    <row r="12" customFormat="false" ht="23.85" hidden="false" customHeight="false" outlineLevel="0" collapsed="false">
      <c r="A12" s="2" t="s">
        <v>9</v>
      </c>
    </row>
    <row r="13" customFormat="false" ht="15" hidden="false" customHeight="false" outlineLevel="0" collapsed="false">
      <c r="A13" s="2" t="s">
        <v>10</v>
      </c>
    </row>
    <row r="14" customFormat="false" ht="23.85" hidden="false" customHeight="false" outlineLevel="0" collapsed="false">
      <c r="A14" s="2" t="s">
        <v>11</v>
      </c>
    </row>
    <row r="15" customFormat="false" ht="23.8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1" t="s">
        <v>14</v>
      </c>
    </row>
    <row r="19" customFormat="false" ht="46.2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34"/>
    <col collapsed="false" customWidth="true" hidden="false" outlineLevel="0" max="4" min="4" style="0" width="7"/>
    <col collapsed="false" customWidth="true" hidden="false" outlineLevel="0" max="5" min="5" style="0" width="24"/>
    <col collapsed="false" customWidth="true" hidden="false" outlineLevel="0" max="6" min="6" style="0" width="40"/>
    <col collapsed="false" customWidth="true" hidden="false" outlineLevel="0" max="7" min="7" style="0" width="58"/>
    <col collapsed="false" customWidth="true" hidden="false" outlineLevel="0" max="8" min="8" style="0" width="20"/>
    <col collapsed="false" customWidth="true" hidden="false" outlineLevel="0" max="9" min="9" style="0" width="9"/>
    <col collapsed="false" customWidth="true" hidden="false" outlineLevel="0" max="10" min="10" style="0" width="14"/>
    <col collapsed="false" customWidth="true" hidden="false" outlineLevel="0" max="11" min="11" style="0" width="16"/>
    <col collapsed="false" customWidth="true" hidden="false" outlineLevel="0" max="12" min="12" style="0" width="11"/>
    <col collapsed="false" customWidth="true" hidden="false" outlineLevel="0" max="13" min="13" style="0" width="22"/>
    <col collapsed="false" customWidth="true" hidden="false" outlineLevel="0" max="15" min="14" style="0" width="8"/>
    <col collapsed="false" customWidth="true" hidden="false" outlineLevel="0" max="17" min="16" style="0" width="9"/>
    <col collapsed="false" customWidth="true" hidden="false" outlineLevel="0" max="19" min="18" style="0" width="10"/>
    <col collapsed="false" customWidth="true" hidden="false" outlineLevel="0" max="20" min="20" style="0" width="9"/>
    <col collapsed="false" customWidth="true" hidden="false" outlineLevel="0" max="21" min="21" style="0" width="50"/>
    <col collapsed="false" customWidth="true" hidden="false" outlineLevel="0" max="22" min="22" style="0" width="20"/>
    <col collapsed="false" customWidth="true" hidden="false" outlineLevel="0" max="24" min="23" style="0" width="11"/>
    <col collapsed="false" customWidth="true" hidden="false" outlineLevel="0" max="25" min="25" style="0" width="9"/>
    <col collapsed="false" customWidth="true" hidden="false" outlineLevel="0" max="26" min="26" style="0" width="8"/>
    <col collapsed="false" customWidth="true" hidden="false" outlineLevel="0" max="27" min="27" style="0" width="26"/>
    <col collapsed="false" customWidth="true" hidden="false" outlineLevel="0" max="29" min="28" style="0" width="12"/>
    <col collapsed="false" customWidth="true" hidden="false" outlineLevel="0" max="30" min="30" style="0" width="24"/>
    <col collapsed="false" customWidth="true" hidden="false" outlineLevel="0" max="31" min="31" style="0" width="8"/>
  </cols>
  <sheetData>
    <row r="1" customFormat="false" ht="39.75" hidden="false" customHeight="true" outlineLevel="0" collapsed="false">
      <c r="A1" s="3" t="s">
        <v>17</v>
      </c>
      <c r="B1" s="3" t="s">
        <v>18</v>
      </c>
      <c r="C1" s="3" t="s">
        <v>19</v>
      </c>
      <c r="D1" s="3" t="s">
        <v>20</v>
      </c>
      <c r="E1" s="3" t="s">
        <v>21</v>
      </c>
      <c r="F1" s="3" t="s">
        <v>22</v>
      </c>
      <c r="G1" s="3" t="s">
        <v>23</v>
      </c>
      <c r="H1" s="3" t="s">
        <v>24</v>
      </c>
      <c r="I1" s="3" t="s">
        <v>25</v>
      </c>
      <c r="J1" s="3" t="s">
        <v>26</v>
      </c>
      <c r="K1" s="3" t="s">
        <v>27</v>
      </c>
      <c r="L1" s="3" t="s">
        <v>28</v>
      </c>
      <c r="M1" s="3" t="s">
        <v>29</v>
      </c>
      <c r="N1" s="3" t="s">
        <v>30</v>
      </c>
      <c r="O1" s="3" t="s">
        <v>31</v>
      </c>
      <c r="P1" s="3" t="s">
        <v>32</v>
      </c>
      <c r="Q1" s="3" t="s">
        <v>33</v>
      </c>
      <c r="R1" s="3" t="s">
        <v>34</v>
      </c>
      <c r="S1" s="3" t="s">
        <v>35</v>
      </c>
      <c r="T1" s="3" t="s">
        <v>36</v>
      </c>
      <c r="U1" s="3" t="s">
        <v>37</v>
      </c>
      <c r="V1" s="3" t="s">
        <v>38</v>
      </c>
      <c r="W1" s="3" t="s">
        <v>39</v>
      </c>
      <c r="X1" s="3" t="s">
        <v>40</v>
      </c>
      <c r="Y1" s="3" t="s">
        <v>41</v>
      </c>
      <c r="Z1" s="3" t="s">
        <v>42</v>
      </c>
      <c r="AA1" s="3" t="s">
        <v>43</v>
      </c>
      <c r="AB1" s="3" t="s">
        <v>44</v>
      </c>
      <c r="AC1" s="3" t="s">
        <v>45</v>
      </c>
      <c r="AD1" s="3" t="s">
        <v>46</v>
      </c>
      <c r="AE1" s="3" t="s">
        <v>47</v>
      </c>
    </row>
    <row r="2" customFormat="false" ht="39.55" hidden="false" customHeight="false" outlineLevel="0" collapsed="false">
      <c r="A2" s="4" t="n">
        <v>1</v>
      </c>
      <c r="B2" s="4" t="n">
        <f aca="false">ROUNDUP(A2/3,0)</f>
        <v>1</v>
      </c>
      <c r="C2" s="4" t="s">
        <v>48</v>
      </c>
      <c r="D2" s="4" t="s">
        <v>49</v>
      </c>
      <c r="E2" s="4" t="s">
        <v>50</v>
      </c>
      <c r="F2" s="5" t="s">
        <v>51</v>
      </c>
      <c r="G2" s="5" t="s">
        <v>52</v>
      </c>
      <c r="H2" s="4" t="s">
        <v>53</v>
      </c>
      <c r="I2" s="4" t="s">
        <v>54</v>
      </c>
      <c r="J2" s="4" t="s">
        <v>55</v>
      </c>
      <c r="K2" s="4" t="s">
        <v>56</v>
      </c>
      <c r="L2" s="4" t="s">
        <v>57</v>
      </c>
      <c r="M2" s="4" t="s">
        <v>58</v>
      </c>
      <c r="N2" s="4" t="n">
        <v>71</v>
      </c>
      <c r="O2" s="4" t="n">
        <v>31</v>
      </c>
      <c r="P2" s="4" t="n">
        <v>16</v>
      </c>
      <c r="Q2" s="4" t="n">
        <v>4</v>
      </c>
      <c r="R2" s="6" t="n">
        <v>22.71</v>
      </c>
      <c r="S2" s="6" t="n">
        <v>1.62</v>
      </c>
      <c r="T2" s="4" t="n">
        <v>8</v>
      </c>
      <c r="U2" s="5" t="s">
        <v>59</v>
      </c>
      <c r="V2" s="4" t="s">
        <v>60</v>
      </c>
      <c r="W2" s="7" t="n">
        <v>36200</v>
      </c>
      <c r="X2" s="7" t="n">
        <v>822000</v>
      </c>
      <c r="Y2" s="6" t="n">
        <f aca="false">IF(OR(W2="",W2=0,X2=""),"",X2/W2)</f>
        <v>22.707182320442</v>
      </c>
      <c r="Z2" s="4" t="n">
        <v>14</v>
      </c>
      <c r="AA2" s="8" t="s">
        <v>61</v>
      </c>
      <c r="AB2" s="9" t="s">
        <v>62</v>
      </c>
      <c r="AC2" s="10"/>
      <c r="AD2" s="4"/>
      <c r="AE2" s="11" t="n">
        <f aca="false">IF(AB2&lt;&gt;"Published",COUNTIF($AB$2:AB2,"&lt;&gt;Published"),"")</f>
        <v>1</v>
      </c>
    </row>
    <row r="3" customFormat="false" ht="39.55" hidden="false" customHeight="false" outlineLevel="0" collapsed="false">
      <c r="A3" s="4" t="n">
        <v>2</v>
      </c>
      <c r="B3" s="4" t="n">
        <f aca="false">ROUNDUP(A3/3,0)</f>
        <v>1</v>
      </c>
      <c r="C3" s="4" t="s">
        <v>48</v>
      </c>
      <c r="D3" s="4" t="s">
        <v>63</v>
      </c>
      <c r="E3" s="4" t="s">
        <v>64</v>
      </c>
      <c r="F3" s="5" t="s">
        <v>65</v>
      </c>
      <c r="G3" s="5" t="s">
        <v>66</v>
      </c>
      <c r="H3" s="4" t="s">
        <v>53</v>
      </c>
      <c r="I3" s="4" t="s">
        <v>54</v>
      </c>
      <c r="J3" s="4" t="s">
        <v>55</v>
      </c>
      <c r="K3" s="4" t="s">
        <v>56</v>
      </c>
      <c r="L3" s="4" t="s">
        <v>57</v>
      </c>
      <c r="M3" s="4" t="s">
        <v>67</v>
      </c>
      <c r="N3" s="4" t="n">
        <v>21</v>
      </c>
      <c r="O3" s="4" t="n">
        <v>15</v>
      </c>
      <c r="P3" s="4" t="n">
        <v>4</v>
      </c>
      <c r="Q3" s="4" t="n">
        <v>0</v>
      </c>
      <c r="R3" s="6" t="n">
        <v>7.22</v>
      </c>
      <c r="S3" s="6" t="n">
        <v>1.61</v>
      </c>
      <c r="T3" s="4" t="n">
        <v>6</v>
      </c>
      <c r="U3" s="5" t="s">
        <v>68</v>
      </c>
      <c r="V3" s="4" t="s">
        <v>69</v>
      </c>
      <c r="W3" s="7" t="n">
        <v>29500</v>
      </c>
      <c r="X3" s="7" t="n">
        <v>213000</v>
      </c>
      <c r="Y3" s="6" t="n">
        <f aca="false">IF(OR(W3="",W3=0,X3=""),"",X3/W3)</f>
        <v>7.22033898305085</v>
      </c>
      <c r="Z3" s="4" t="n">
        <v>14</v>
      </c>
      <c r="AA3" s="8" t="s">
        <v>70</v>
      </c>
      <c r="AB3" s="9" t="s">
        <v>62</v>
      </c>
      <c r="AC3" s="10"/>
      <c r="AD3" s="4"/>
      <c r="AE3" s="11" t="n">
        <f aca="false">IF(AB3&lt;&gt;"Published",COUNTIF($AB$2:AB3,"&lt;&gt;Published"),"")</f>
        <v>2</v>
      </c>
    </row>
    <row r="4" customFormat="false" ht="26.85" hidden="false" customHeight="false" outlineLevel="0" collapsed="false">
      <c r="A4" s="4" t="n">
        <v>3</v>
      </c>
      <c r="B4" s="4" t="n">
        <f aca="false">ROUNDUP(A4/3,0)</f>
        <v>1</v>
      </c>
      <c r="C4" s="4" t="s">
        <v>48</v>
      </c>
      <c r="D4" s="4" t="s">
        <v>71</v>
      </c>
      <c r="E4" s="4" t="s">
        <v>50</v>
      </c>
      <c r="F4" s="5" t="s">
        <v>72</v>
      </c>
      <c r="G4" s="5" t="s">
        <v>73</v>
      </c>
      <c r="H4" s="4" t="s">
        <v>74</v>
      </c>
      <c r="I4" s="4" t="s">
        <v>54</v>
      </c>
      <c r="J4" s="4" t="s">
        <v>49</v>
      </c>
      <c r="K4" s="4" t="s">
        <v>56</v>
      </c>
      <c r="L4" s="4" t="s">
        <v>57</v>
      </c>
      <c r="M4" s="4" t="s">
        <v>58</v>
      </c>
      <c r="N4" s="4" t="n">
        <v>191</v>
      </c>
      <c r="O4" s="4" t="n">
        <v>38</v>
      </c>
      <c r="P4" s="4" t="n">
        <v>25</v>
      </c>
      <c r="Q4" s="4" t="n">
        <v>6</v>
      </c>
      <c r="R4" s="6" t="n">
        <v>27.88</v>
      </c>
      <c r="S4" s="6" t="n">
        <v>8.12</v>
      </c>
      <c r="T4" s="4" t="n">
        <v>9</v>
      </c>
      <c r="U4" s="5" t="s">
        <v>75</v>
      </c>
      <c r="V4" s="4" t="s">
        <v>76</v>
      </c>
      <c r="W4" s="7" t="n">
        <v>38300</v>
      </c>
      <c r="X4" s="7" t="n">
        <v>603000</v>
      </c>
      <c r="Y4" s="6" t="n">
        <f aca="false">IF(OR(W4="",W4=0,X4=""),"",X4/W4)</f>
        <v>15.7441253263708</v>
      </c>
      <c r="Z4" s="4" t="n">
        <v>15</v>
      </c>
      <c r="AA4" s="8" t="s">
        <v>77</v>
      </c>
      <c r="AB4" s="9" t="s">
        <v>62</v>
      </c>
      <c r="AC4" s="10"/>
      <c r="AD4" s="4"/>
      <c r="AE4" s="11" t="n">
        <f aca="false">IF(AB4&lt;&gt;"Published",COUNTIF($AB$2:AB4,"&lt;&gt;Published"),"")</f>
        <v>3</v>
      </c>
    </row>
    <row r="5" customFormat="false" ht="26.85" hidden="false" customHeight="false" outlineLevel="0" collapsed="false">
      <c r="A5" s="4" t="n">
        <v>4</v>
      </c>
      <c r="B5" s="4" t="n">
        <f aca="false">ROUNDUP(A5/3,0)</f>
        <v>2</v>
      </c>
      <c r="C5" s="4" t="s">
        <v>48</v>
      </c>
      <c r="D5" s="4" t="s">
        <v>78</v>
      </c>
      <c r="E5" s="4" t="s">
        <v>64</v>
      </c>
      <c r="F5" s="5" t="s">
        <v>79</v>
      </c>
      <c r="G5" s="5" t="s">
        <v>80</v>
      </c>
      <c r="H5" s="4" t="s">
        <v>53</v>
      </c>
      <c r="I5" s="4" t="s">
        <v>54</v>
      </c>
      <c r="J5" s="4" t="s">
        <v>63</v>
      </c>
      <c r="K5" s="4" t="s">
        <v>56</v>
      </c>
      <c r="L5" s="4" t="s">
        <v>57</v>
      </c>
      <c r="M5" s="4" t="s">
        <v>58</v>
      </c>
      <c r="N5" s="4" t="n">
        <v>64</v>
      </c>
      <c r="O5" s="4" t="n">
        <v>37</v>
      </c>
      <c r="P5" s="4" t="n">
        <v>8</v>
      </c>
      <c r="Q5" s="4" t="n">
        <v>0</v>
      </c>
      <c r="R5" s="6" t="n">
        <v>5.29</v>
      </c>
      <c r="S5" s="6" t="n">
        <v>2.51</v>
      </c>
      <c r="T5" s="4" t="n">
        <v>8</v>
      </c>
      <c r="U5" s="5" t="s">
        <v>81</v>
      </c>
      <c r="V5" s="4" t="s">
        <v>82</v>
      </c>
      <c r="W5" s="7" t="n">
        <v>82800</v>
      </c>
      <c r="X5" s="7" t="n">
        <v>400000</v>
      </c>
      <c r="Y5" s="6" t="n">
        <f aca="false">IF(OR(W5="",W5=0,X5=""),"",X5/W5)</f>
        <v>4.83091787439614</v>
      </c>
      <c r="Z5" s="4" t="n">
        <v>7</v>
      </c>
      <c r="AA5" s="8" t="s">
        <v>83</v>
      </c>
      <c r="AB5" s="9" t="s">
        <v>62</v>
      </c>
      <c r="AC5" s="10"/>
      <c r="AD5" s="4"/>
      <c r="AE5" s="11" t="n">
        <f aca="false">IF(AB5&lt;&gt;"Published",COUNTIF($AB$2:AB5,"&lt;&gt;Published"),"")</f>
        <v>4</v>
      </c>
    </row>
    <row r="6" customFormat="false" ht="39.55" hidden="false" customHeight="false" outlineLevel="0" collapsed="false">
      <c r="A6" s="4" t="n">
        <v>5</v>
      </c>
      <c r="B6" s="4" t="n">
        <f aca="false">ROUNDUP(A6/3,0)</f>
        <v>2</v>
      </c>
      <c r="C6" s="4" t="s">
        <v>48</v>
      </c>
      <c r="D6" s="4" t="s">
        <v>84</v>
      </c>
      <c r="E6" s="4" t="s">
        <v>50</v>
      </c>
      <c r="F6" s="5" t="s">
        <v>85</v>
      </c>
      <c r="G6" s="5" t="s">
        <v>86</v>
      </c>
      <c r="H6" s="4" t="s">
        <v>74</v>
      </c>
      <c r="I6" s="4" t="s">
        <v>87</v>
      </c>
      <c r="J6" s="4" t="s">
        <v>55</v>
      </c>
      <c r="K6" s="4" t="s">
        <v>56</v>
      </c>
      <c r="L6" s="4" t="s">
        <v>57</v>
      </c>
      <c r="M6" s="4" t="s">
        <v>58</v>
      </c>
      <c r="N6" s="4" t="n">
        <v>108</v>
      </c>
      <c r="O6" s="4" t="n">
        <v>35</v>
      </c>
      <c r="P6" s="4" t="n">
        <v>25</v>
      </c>
      <c r="Q6" s="4" t="n">
        <v>3</v>
      </c>
      <c r="R6" s="6" t="n">
        <v>23.84</v>
      </c>
      <c r="S6" s="6" t="n">
        <v>2.18</v>
      </c>
      <c r="T6" s="4" t="n">
        <v>10</v>
      </c>
      <c r="U6" s="5" t="s">
        <v>88</v>
      </c>
      <c r="V6" s="4" t="s">
        <v>76</v>
      </c>
      <c r="W6" s="7" t="n">
        <v>38300</v>
      </c>
      <c r="X6" s="7" t="n">
        <v>913000</v>
      </c>
      <c r="Y6" s="6" t="n">
        <f aca="false">IF(OR(W6="",W6=0,X6=""),"",X6/W6)</f>
        <v>23.8381201044386</v>
      </c>
      <c r="Z6" s="4" t="n">
        <v>14</v>
      </c>
      <c r="AA6" s="8" t="s">
        <v>89</v>
      </c>
      <c r="AB6" s="9" t="s">
        <v>62</v>
      </c>
      <c r="AC6" s="10"/>
      <c r="AD6" s="4"/>
      <c r="AE6" s="11" t="n">
        <f aca="false">IF(AB6&lt;&gt;"Published",COUNTIF($AB$2:AB6,"&lt;&gt;Published"),"")</f>
        <v>5</v>
      </c>
    </row>
    <row r="7" customFormat="false" ht="39.55" hidden="false" customHeight="false" outlineLevel="0" collapsed="false">
      <c r="A7" s="4" t="n">
        <v>6</v>
      </c>
      <c r="B7" s="4" t="n">
        <f aca="false">ROUNDUP(A7/3,0)</f>
        <v>2</v>
      </c>
      <c r="C7" s="4" t="s">
        <v>48</v>
      </c>
      <c r="D7" s="4" t="s">
        <v>90</v>
      </c>
      <c r="E7" s="4" t="s">
        <v>64</v>
      </c>
      <c r="F7" s="5" t="s">
        <v>91</v>
      </c>
      <c r="G7" s="5" t="s">
        <v>92</v>
      </c>
      <c r="H7" s="4" t="s">
        <v>53</v>
      </c>
      <c r="I7" s="4" t="s">
        <v>54</v>
      </c>
      <c r="J7" s="4" t="s">
        <v>93</v>
      </c>
      <c r="K7" s="4" t="s">
        <v>94</v>
      </c>
      <c r="L7" s="4" t="s">
        <v>95</v>
      </c>
      <c r="M7" s="4" t="s">
        <v>96</v>
      </c>
      <c r="N7" s="4" t="n">
        <v>6</v>
      </c>
      <c r="O7" s="4" t="n">
        <v>6</v>
      </c>
      <c r="P7" s="4" t="n">
        <v>0</v>
      </c>
      <c r="Q7" s="4" t="n">
        <v>0</v>
      </c>
      <c r="R7" s="6" t="n">
        <v>0.68</v>
      </c>
      <c r="S7" s="6" t="n">
        <v>0.11</v>
      </c>
      <c r="T7" s="4"/>
      <c r="U7" s="5" t="s">
        <v>97</v>
      </c>
      <c r="V7" s="4" t="s">
        <v>76</v>
      </c>
      <c r="W7" s="7" t="n">
        <v>38300</v>
      </c>
      <c r="X7" s="7" t="n">
        <v>26000</v>
      </c>
      <c r="Y7" s="6" t="n">
        <f aca="false">IF(OR(W7="",W7=0,X7=""),"",X7/W7)</f>
        <v>0.678851174934726</v>
      </c>
      <c r="Z7" s="4" t="n">
        <v>14</v>
      </c>
      <c r="AA7" s="8" t="s">
        <v>98</v>
      </c>
      <c r="AB7" s="9" t="s">
        <v>62</v>
      </c>
      <c r="AC7" s="10"/>
      <c r="AD7" s="4"/>
      <c r="AE7" s="11" t="n">
        <f aca="false">IF(AB7&lt;&gt;"Published",COUNTIF($AB$2:AB7,"&lt;&gt;Published"),"")</f>
        <v>6</v>
      </c>
    </row>
    <row r="8" customFormat="false" ht="26.85" hidden="false" customHeight="false" outlineLevel="0" collapsed="false">
      <c r="A8" s="4" t="n">
        <v>7</v>
      </c>
      <c r="B8" s="4" t="n">
        <f aca="false">ROUNDUP(A8/3,0)</f>
        <v>3</v>
      </c>
      <c r="C8" s="4" t="s">
        <v>48</v>
      </c>
      <c r="D8" s="4" t="s">
        <v>99</v>
      </c>
      <c r="E8" s="4" t="s">
        <v>50</v>
      </c>
      <c r="F8" s="5" t="s">
        <v>100</v>
      </c>
      <c r="G8" s="5" t="s">
        <v>101</v>
      </c>
      <c r="H8" s="4" t="s">
        <v>74</v>
      </c>
      <c r="I8" s="4" t="s">
        <v>87</v>
      </c>
      <c r="J8" s="4" t="s">
        <v>49</v>
      </c>
      <c r="K8" s="4" t="s">
        <v>56</v>
      </c>
      <c r="L8" s="4" t="s">
        <v>57</v>
      </c>
      <c r="M8" s="4" t="s">
        <v>58</v>
      </c>
      <c r="N8" s="4" t="n">
        <v>68</v>
      </c>
      <c r="O8" s="4" t="n">
        <v>24</v>
      </c>
      <c r="P8" s="4" t="n">
        <v>14</v>
      </c>
      <c r="Q8" s="4" t="n">
        <v>1</v>
      </c>
      <c r="R8" s="6" t="n">
        <v>13.11</v>
      </c>
      <c r="S8" s="6" t="n">
        <v>1.57</v>
      </c>
      <c r="T8" s="4" t="n">
        <v>12</v>
      </c>
      <c r="U8" s="5" t="s">
        <v>102</v>
      </c>
      <c r="V8" s="4" t="s">
        <v>76</v>
      </c>
      <c r="W8" s="7" t="n">
        <v>38300</v>
      </c>
      <c r="X8" s="7" t="n">
        <v>502000</v>
      </c>
      <c r="Y8" s="6" t="n">
        <f aca="false">IF(OR(W8="",W8=0,X8=""),"",X8/W8)</f>
        <v>13.1070496083551</v>
      </c>
      <c r="Z8" s="4" t="n">
        <v>15</v>
      </c>
      <c r="AA8" s="8" t="s">
        <v>103</v>
      </c>
      <c r="AB8" s="9" t="s">
        <v>62</v>
      </c>
      <c r="AC8" s="10"/>
      <c r="AD8" s="4"/>
      <c r="AE8" s="11" t="n">
        <f aca="false">IF(AB8&lt;&gt;"Published",COUNTIF($AB$2:AB8,"&lt;&gt;Published"),"")</f>
        <v>7</v>
      </c>
    </row>
    <row r="9" customFormat="false" ht="39.55" hidden="false" customHeight="false" outlineLevel="0" collapsed="false">
      <c r="A9" s="4" t="n">
        <v>8</v>
      </c>
      <c r="B9" s="4" t="n">
        <f aca="false">ROUNDUP(A9/3,0)</f>
        <v>3</v>
      </c>
      <c r="C9" s="4" t="s">
        <v>48</v>
      </c>
      <c r="D9" s="4" t="s">
        <v>104</v>
      </c>
      <c r="E9" s="4" t="s">
        <v>64</v>
      </c>
      <c r="F9" s="5" t="s">
        <v>105</v>
      </c>
      <c r="G9" s="5" t="s">
        <v>106</v>
      </c>
      <c r="H9" s="4" t="s">
        <v>53</v>
      </c>
      <c r="I9" s="4" t="s">
        <v>107</v>
      </c>
      <c r="J9" s="4" t="s">
        <v>90</v>
      </c>
      <c r="K9" s="4" t="s">
        <v>94</v>
      </c>
      <c r="L9" s="4" t="s">
        <v>57</v>
      </c>
      <c r="M9" s="4" t="s">
        <v>58</v>
      </c>
      <c r="N9" s="4" t="n">
        <v>61</v>
      </c>
      <c r="O9" s="4" t="n">
        <v>12</v>
      </c>
      <c r="P9" s="4" t="n">
        <v>26</v>
      </c>
      <c r="Q9" s="4" t="n">
        <v>3</v>
      </c>
      <c r="R9" s="6" t="n">
        <v>33.53</v>
      </c>
      <c r="S9" s="6" t="n">
        <v>5.59</v>
      </c>
      <c r="T9" s="4" t="n">
        <v>13</v>
      </c>
      <c r="U9" s="5" t="s">
        <v>108</v>
      </c>
      <c r="V9" s="4" t="s">
        <v>109</v>
      </c>
      <c r="W9" s="7" t="n">
        <v>3370</v>
      </c>
      <c r="X9" s="7" t="n">
        <v>113000</v>
      </c>
      <c r="Y9" s="6" t="n">
        <f aca="false">IF(OR(W9="",W9=0,X9=""),"",X9/W9)</f>
        <v>33.5311572700297</v>
      </c>
      <c r="Z9" s="4" t="n">
        <v>6</v>
      </c>
      <c r="AA9" s="8" t="s">
        <v>110</v>
      </c>
      <c r="AB9" s="9" t="s">
        <v>62</v>
      </c>
      <c r="AC9" s="10"/>
      <c r="AD9" s="4"/>
      <c r="AE9" s="11" t="n">
        <f aca="false">IF(AB9&lt;&gt;"Published",COUNTIF($AB$2:AB9,"&lt;&gt;Published"),"")</f>
        <v>8</v>
      </c>
    </row>
    <row r="10" customFormat="false" ht="39.55" hidden="false" customHeight="false" outlineLevel="0" collapsed="false">
      <c r="A10" s="4" t="n">
        <v>9</v>
      </c>
      <c r="B10" s="4" t="n">
        <f aca="false">ROUNDUP(A10/3,0)</f>
        <v>3</v>
      </c>
      <c r="C10" s="4" t="s">
        <v>48</v>
      </c>
      <c r="D10" s="4" t="s">
        <v>111</v>
      </c>
      <c r="E10" s="4" t="s">
        <v>50</v>
      </c>
      <c r="F10" s="5" t="s">
        <v>112</v>
      </c>
      <c r="G10" s="5" t="s">
        <v>113</v>
      </c>
      <c r="H10" s="4" t="s">
        <v>53</v>
      </c>
      <c r="I10" s="4" t="s">
        <v>54</v>
      </c>
      <c r="J10" s="4" t="s">
        <v>99</v>
      </c>
      <c r="K10" s="4" t="s">
        <v>114</v>
      </c>
      <c r="L10" s="4" t="s">
        <v>115</v>
      </c>
      <c r="M10" s="4" t="s">
        <v>58</v>
      </c>
      <c r="N10" s="4" t="n">
        <v>44</v>
      </c>
      <c r="O10" s="4" t="n">
        <v>21</v>
      </c>
      <c r="P10" s="4" t="n">
        <v>5</v>
      </c>
      <c r="Q10" s="4" t="n">
        <v>0</v>
      </c>
      <c r="R10" s="6" t="n">
        <v>3.3</v>
      </c>
      <c r="S10" s="6" t="n">
        <v>0.81</v>
      </c>
      <c r="T10" s="4" t="n">
        <v>8</v>
      </c>
      <c r="U10" s="5" t="s">
        <v>116</v>
      </c>
      <c r="V10" s="4" t="s">
        <v>117</v>
      </c>
      <c r="W10" s="7" t="n">
        <v>77800</v>
      </c>
      <c r="X10" s="7" t="n">
        <v>252000</v>
      </c>
      <c r="Y10" s="6" t="n">
        <f aca="false">IF(OR(W10="",W10=0,X10=""),"",X10/W10)</f>
        <v>3.23907455012853</v>
      </c>
      <c r="Z10" s="4" t="n">
        <v>4</v>
      </c>
      <c r="AA10" s="8" t="s">
        <v>118</v>
      </c>
      <c r="AB10" s="9" t="s">
        <v>62</v>
      </c>
      <c r="AC10" s="10"/>
      <c r="AD10" s="4"/>
      <c r="AE10" s="11" t="n">
        <f aca="false">IF(AB10&lt;&gt;"Published",COUNTIF($AB$2:AB10,"&lt;&gt;Published"),"")</f>
        <v>9</v>
      </c>
    </row>
    <row r="11" customFormat="false" ht="39.55" hidden="false" customHeight="false" outlineLevel="0" collapsed="false">
      <c r="A11" s="4" t="n">
        <v>10</v>
      </c>
      <c r="B11" s="4" t="n">
        <f aca="false">ROUNDUP(A11/3,0)</f>
        <v>4</v>
      </c>
      <c r="C11" s="4" t="s">
        <v>48</v>
      </c>
      <c r="D11" s="4" t="s">
        <v>119</v>
      </c>
      <c r="E11" s="4" t="s">
        <v>64</v>
      </c>
      <c r="F11" s="5" t="s">
        <v>120</v>
      </c>
      <c r="G11" s="5" t="s">
        <v>121</v>
      </c>
      <c r="H11" s="4" t="s">
        <v>53</v>
      </c>
      <c r="I11" s="4" t="s">
        <v>107</v>
      </c>
      <c r="J11" s="4" t="s">
        <v>104</v>
      </c>
      <c r="K11" s="4" t="s">
        <v>94</v>
      </c>
      <c r="L11" s="4" t="s">
        <v>57</v>
      </c>
      <c r="M11" s="4" t="s">
        <v>58</v>
      </c>
      <c r="N11" s="4" t="n">
        <v>14</v>
      </c>
      <c r="O11" s="4" t="n">
        <v>4</v>
      </c>
      <c r="P11" s="4" t="n">
        <v>9</v>
      </c>
      <c r="Q11" s="4" t="n">
        <v>1</v>
      </c>
      <c r="R11" s="6" t="n">
        <v>15.73</v>
      </c>
      <c r="S11" s="6" t="n">
        <v>2.62</v>
      </c>
      <c r="T11" s="4" t="n">
        <v>13</v>
      </c>
      <c r="U11" s="5" t="s">
        <v>122</v>
      </c>
      <c r="V11" s="4" t="s">
        <v>109</v>
      </c>
      <c r="W11" s="7" t="n">
        <v>3370</v>
      </c>
      <c r="X11" s="7" t="n">
        <v>53000</v>
      </c>
      <c r="Y11" s="6" t="n">
        <f aca="false">IF(OR(W11="",W11=0,X11=""),"",X11/W11)</f>
        <v>15.7270029673591</v>
      </c>
      <c r="Z11" s="4" t="n">
        <v>6</v>
      </c>
      <c r="AA11" s="8" t="s">
        <v>123</v>
      </c>
      <c r="AB11" s="9" t="s">
        <v>62</v>
      </c>
      <c r="AC11" s="10"/>
      <c r="AD11" s="4"/>
      <c r="AE11" s="11" t="n">
        <f aca="false">IF(AB11&lt;&gt;"Published",COUNTIF($AB$2:AB11,"&lt;&gt;Published"),"")</f>
        <v>10</v>
      </c>
    </row>
    <row r="12" customFormat="false" ht="39.55" hidden="false" customHeight="false" outlineLevel="0" collapsed="false">
      <c r="A12" s="4" t="n">
        <v>11</v>
      </c>
      <c r="B12" s="4" t="n">
        <f aca="false">ROUNDUP(A12/3,0)</f>
        <v>4</v>
      </c>
      <c r="C12" s="4" t="s">
        <v>48</v>
      </c>
      <c r="D12" s="4" t="s">
        <v>124</v>
      </c>
      <c r="E12" s="4" t="s">
        <v>50</v>
      </c>
      <c r="F12" s="5" t="s">
        <v>125</v>
      </c>
      <c r="G12" s="5" t="s">
        <v>126</v>
      </c>
      <c r="H12" s="4" t="s">
        <v>53</v>
      </c>
      <c r="I12" s="4" t="s">
        <v>127</v>
      </c>
      <c r="J12" s="4" t="s">
        <v>49</v>
      </c>
      <c r="K12" s="4" t="s">
        <v>94</v>
      </c>
      <c r="L12" s="4" t="s">
        <v>57</v>
      </c>
      <c r="M12" s="4" t="s">
        <v>58</v>
      </c>
      <c r="N12" s="4" t="n">
        <v>107</v>
      </c>
      <c r="O12" s="4" t="n">
        <v>29</v>
      </c>
      <c r="P12" s="4" t="n">
        <v>24</v>
      </c>
      <c r="Q12" s="4" t="n">
        <v>5</v>
      </c>
      <c r="R12" s="6" t="n">
        <v>6.53</v>
      </c>
      <c r="S12" s="6" t="n">
        <v>1.76</v>
      </c>
      <c r="T12" s="4" t="n">
        <v>8</v>
      </c>
      <c r="U12" s="5" t="s">
        <v>128</v>
      </c>
      <c r="V12" s="4" t="s">
        <v>129</v>
      </c>
      <c r="W12" s="7" t="n">
        <v>47500</v>
      </c>
      <c r="X12" s="7" t="n">
        <v>255000</v>
      </c>
      <c r="Y12" s="6" t="n">
        <f aca="false">IF(OR(W12="",W12=0,X12=""),"",X12/W12)</f>
        <v>5.36842105263158</v>
      </c>
      <c r="Z12" s="4" t="n">
        <v>17</v>
      </c>
      <c r="AA12" s="8" t="s">
        <v>130</v>
      </c>
      <c r="AB12" s="9" t="s">
        <v>62</v>
      </c>
      <c r="AC12" s="10"/>
      <c r="AD12" s="4"/>
      <c r="AE12" s="11" t="n">
        <f aca="false">IF(AB12&lt;&gt;"Published",COUNTIF($AB$2:AB12,"&lt;&gt;Published"),"")</f>
        <v>11</v>
      </c>
    </row>
    <row r="13" customFormat="false" ht="39.55" hidden="false" customHeight="false" outlineLevel="0" collapsed="false">
      <c r="A13" s="4" t="n">
        <v>12</v>
      </c>
      <c r="B13" s="4" t="n">
        <f aca="false">ROUNDUP(A13/3,0)</f>
        <v>4</v>
      </c>
      <c r="C13" s="4" t="s">
        <v>48</v>
      </c>
      <c r="D13" s="4" t="s">
        <v>131</v>
      </c>
      <c r="E13" s="4" t="s">
        <v>64</v>
      </c>
      <c r="F13" s="5" t="s">
        <v>132</v>
      </c>
      <c r="G13" s="5" t="s">
        <v>133</v>
      </c>
      <c r="H13" s="4" t="s">
        <v>53</v>
      </c>
      <c r="I13" s="4" t="s">
        <v>54</v>
      </c>
      <c r="J13" s="4" t="s">
        <v>119</v>
      </c>
      <c r="K13" s="4" t="s">
        <v>94</v>
      </c>
      <c r="L13" s="4" t="s">
        <v>95</v>
      </c>
      <c r="M13" s="4" t="s">
        <v>96</v>
      </c>
      <c r="N13" s="4" t="n">
        <v>1</v>
      </c>
      <c r="O13" s="4" t="n">
        <v>1</v>
      </c>
      <c r="P13" s="4" t="n">
        <v>0</v>
      </c>
      <c r="Q13" s="4" t="n">
        <v>0</v>
      </c>
      <c r="R13" s="6" t="n">
        <v>0.53</v>
      </c>
      <c r="S13" s="6" t="n">
        <v>0.18</v>
      </c>
      <c r="T13" s="4"/>
      <c r="U13" s="5" t="s">
        <v>134</v>
      </c>
      <c r="V13" s="4" t="s">
        <v>135</v>
      </c>
      <c r="W13" s="7" t="n">
        <v>8790</v>
      </c>
      <c r="X13" s="7" t="n">
        <v>4700</v>
      </c>
      <c r="Y13" s="6" t="n">
        <f aca="false">IF(OR(W13="",W13=0,X13=""),"",X13/W13)</f>
        <v>0.534698521046644</v>
      </c>
      <c r="Z13" s="4" t="n">
        <v>3</v>
      </c>
      <c r="AA13" s="8" t="s">
        <v>136</v>
      </c>
      <c r="AB13" s="9" t="s">
        <v>62</v>
      </c>
      <c r="AC13" s="10"/>
      <c r="AD13" s="4"/>
      <c r="AE13" s="11" t="n">
        <f aca="false">IF(AB13&lt;&gt;"Published",COUNTIF($AB$2:AB13,"&lt;&gt;Published"),"")</f>
        <v>12</v>
      </c>
    </row>
    <row r="14" customFormat="false" ht="39.55" hidden="false" customHeight="false" outlineLevel="0" collapsed="false">
      <c r="A14" s="4" t="n">
        <v>13</v>
      </c>
      <c r="B14" s="4" t="n">
        <f aca="false">ROUNDUP(A14/3,0)</f>
        <v>5</v>
      </c>
      <c r="C14" s="4" t="s">
        <v>48</v>
      </c>
      <c r="D14" s="4" t="s">
        <v>137</v>
      </c>
      <c r="E14" s="4" t="s">
        <v>50</v>
      </c>
      <c r="F14" s="5" t="s">
        <v>138</v>
      </c>
      <c r="G14" s="5" t="s">
        <v>139</v>
      </c>
      <c r="H14" s="4" t="s">
        <v>53</v>
      </c>
      <c r="I14" s="4" t="s">
        <v>127</v>
      </c>
      <c r="J14" s="4" t="s">
        <v>124</v>
      </c>
      <c r="K14" s="4" t="s">
        <v>94</v>
      </c>
      <c r="L14" s="4" t="s">
        <v>115</v>
      </c>
      <c r="M14" s="4" t="s">
        <v>58</v>
      </c>
      <c r="N14" s="4" t="n">
        <v>44</v>
      </c>
      <c r="O14" s="4" t="n">
        <v>16</v>
      </c>
      <c r="P14" s="4" t="n">
        <v>10</v>
      </c>
      <c r="Q14" s="4" t="n">
        <v>1</v>
      </c>
      <c r="R14" s="6" t="n">
        <v>5.11</v>
      </c>
      <c r="S14" s="6" t="n">
        <v>1.31</v>
      </c>
      <c r="T14" s="4" t="n">
        <v>11.5</v>
      </c>
      <c r="U14" s="5" t="s">
        <v>140</v>
      </c>
      <c r="V14" s="4" t="s">
        <v>60</v>
      </c>
      <c r="W14" s="7" t="n">
        <v>36200</v>
      </c>
      <c r="X14" s="7" t="n">
        <v>168000</v>
      </c>
      <c r="Y14" s="6" t="n">
        <f aca="false">IF(OR(W14="",W14=0,X14=""),"",X14/W14)</f>
        <v>4.64088397790055</v>
      </c>
      <c r="Z14" s="4" t="n">
        <v>14</v>
      </c>
      <c r="AA14" s="8" t="s">
        <v>141</v>
      </c>
      <c r="AB14" s="9" t="s">
        <v>62</v>
      </c>
      <c r="AC14" s="10"/>
      <c r="AD14" s="4"/>
      <c r="AE14" s="11" t="n">
        <f aca="false">IF(AB14&lt;&gt;"Published",COUNTIF($AB$2:AB14,"&lt;&gt;Published"),"")</f>
        <v>13</v>
      </c>
    </row>
    <row r="15" customFormat="false" ht="39.55" hidden="false" customHeight="false" outlineLevel="0" collapsed="false">
      <c r="A15" s="4" t="n">
        <v>14</v>
      </c>
      <c r="B15" s="4" t="n">
        <f aca="false">ROUNDUP(A15/3,0)</f>
        <v>5</v>
      </c>
      <c r="C15" s="4" t="s">
        <v>48</v>
      </c>
      <c r="D15" s="4" t="s">
        <v>142</v>
      </c>
      <c r="E15" s="4" t="s">
        <v>64</v>
      </c>
      <c r="F15" s="5" t="s">
        <v>143</v>
      </c>
      <c r="G15" s="5" t="s">
        <v>144</v>
      </c>
      <c r="H15" s="4" t="s">
        <v>53</v>
      </c>
      <c r="I15" s="4" t="s">
        <v>127</v>
      </c>
      <c r="J15" s="4" t="s">
        <v>124</v>
      </c>
      <c r="K15" s="4" t="s">
        <v>94</v>
      </c>
      <c r="L15" s="4" t="s">
        <v>95</v>
      </c>
      <c r="M15" s="4" t="s">
        <v>96</v>
      </c>
      <c r="N15" s="4" t="n">
        <v>8</v>
      </c>
      <c r="O15" s="4" t="n">
        <v>3</v>
      </c>
      <c r="P15" s="4" t="n">
        <v>0</v>
      </c>
      <c r="Q15" s="4" t="n">
        <v>0</v>
      </c>
      <c r="R15" s="6" t="n">
        <v>0.65</v>
      </c>
      <c r="S15" s="6" t="n">
        <v>0.17</v>
      </c>
      <c r="T15" s="4"/>
      <c r="U15" s="5" t="s">
        <v>145</v>
      </c>
      <c r="V15" s="4" t="s">
        <v>146</v>
      </c>
      <c r="W15" s="7" t="n">
        <v>37100</v>
      </c>
      <c r="X15" s="7" t="n">
        <v>24000</v>
      </c>
      <c r="Y15" s="6" t="n">
        <f aca="false">IF(OR(W15="",W15=0,X15=""),"",X15/W15)</f>
        <v>0.646900269541779</v>
      </c>
      <c r="Z15" s="4" t="n">
        <v>9</v>
      </c>
      <c r="AA15" s="8" t="s">
        <v>147</v>
      </c>
      <c r="AB15" s="9" t="s">
        <v>62</v>
      </c>
      <c r="AC15" s="10"/>
      <c r="AD15" s="4"/>
      <c r="AE15" s="11" t="n">
        <f aca="false">IF(AB15&lt;&gt;"Published",COUNTIF($AB$2:AB15,"&lt;&gt;Published"),"")</f>
        <v>14</v>
      </c>
    </row>
    <row r="16" customFormat="false" ht="39.55" hidden="false" customHeight="false" outlineLevel="0" collapsed="false">
      <c r="A16" s="4" t="n">
        <v>15</v>
      </c>
      <c r="B16" s="4" t="n">
        <f aca="false">ROUNDUP(A16/3,0)</f>
        <v>5</v>
      </c>
      <c r="C16" s="4" t="s">
        <v>48</v>
      </c>
      <c r="D16" s="4" t="s">
        <v>148</v>
      </c>
      <c r="E16" s="4" t="s">
        <v>50</v>
      </c>
      <c r="F16" s="5" t="s">
        <v>149</v>
      </c>
      <c r="G16" s="5" t="s">
        <v>150</v>
      </c>
      <c r="H16" s="4" t="s">
        <v>53</v>
      </c>
      <c r="I16" s="4" t="s">
        <v>54</v>
      </c>
      <c r="J16" s="4" t="s">
        <v>137</v>
      </c>
      <c r="K16" s="4" t="s">
        <v>94</v>
      </c>
      <c r="L16" s="4" t="s">
        <v>115</v>
      </c>
      <c r="M16" s="4" t="s">
        <v>58</v>
      </c>
      <c r="N16" s="4" t="n">
        <v>7</v>
      </c>
      <c r="O16" s="4" t="n">
        <v>3</v>
      </c>
      <c r="P16" s="4" t="n">
        <v>1</v>
      </c>
      <c r="Q16" s="4" t="n">
        <v>0</v>
      </c>
      <c r="R16" s="6" t="n">
        <v>2.13</v>
      </c>
      <c r="S16" s="6" t="n">
        <v>0.13</v>
      </c>
      <c r="T16" s="4" t="n">
        <v>17</v>
      </c>
      <c r="U16" s="5" t="s">
        <v>151</v>
      </c>
      <c r="V16" s="4" t="s">
        <v>129</v>
      </c>
      <c r="W16" s="7" t="n">
        <v>47500</v>
      </c>
      <c r="X16" s="7" t="n">
        <v>101000</v>
      </c>
      <c r="Y16" s="6" t="n">
        <f aca="false">IF(OR(W16="",W16=0,X16=""),"",X16/W16)</f>
        <v>2.12631578947368</v>
      </c>
      <c r="Z16" s="4" t="n">
        <v>17</v>
      </c>
      <c r="AA16" s="8" t="s">
        <v>152</v>
      </c>
      <c r="AB16" s="9" t="s">
        <v>62</v>
      </c>
      <c r="AC16" s="10"/>
      <c r="AD16" s="4"/>
      <c r="AE16" s="11" t="n">
        <f aca="false">IF(AB16&lt;&gt;"Published",COUNTIF($AB$2:AB16,"&lt;&gt;Published"),"")</f>
        <v>15</v>
      </c>
    </row>
    <row r="17" customFormat="false" ht="39.55" hidden="false" customHeight="false" outlineLevel="0" collapsed="false">
      <c r="A17" s="4" t="n">
        <v>16</v>
      </c>
      <c r="B17" s="4" t="n">
        <f aca="false">ROUNDUP(A17/3,0)</f>
        <v>6</v>
      </c>
      <c r="C17" s="4" t="s">
        <v>48</v>
      </c>
      <c r="D17" s="4" t="s">
        <v>153</v>
      </c>
      <c r="E17" s="4" t="s">
        <v>64</v>
      </c>
      <c r="F17" s="5" t="s">
        <v>154</v>
      </c>
      <c r="G17" s="5" t="s">
        <v>155</v>
      </c>
      <c r="H17" s="4" t="s">
        <v>53</v>
      </c>
      <c r="I17" s="4" t="s">
        <v>54</v>
      </c>
      <c r="J17" s="4" t="s">
        <v>90</v>
      </c>
      <c r="K17" s="4" t="s">
        <v>94</v>
      </c>
      <c r="L17" s="4" t="s">
        <v>95</v>
      </c>
      <c r="M17" s="4" t="s">
        <v>96</v>
      </c>
      <c r="N17" s="4" t="n">
        <v>6</v>
      </c>
      <c r="O17" s="4" t="n">
        <v>5</v>
      </c>
      <c r="P17" s="4" t="n">
        <v>0</v>
      </c>
      <c r="Q17" s="4" t="n">
        <v>0</v>
      </c>
      <c r="R17" s="6" t="n">
        <v>0.27</v>
      </c>
      <c r="S17" s="6" t="n">
        <v>0.07</v>
      </c>
      <c r="T17" s="4"/>
      <c r="U17" s="5" t="s">
        <v>156</v>
      </c>
      <c r="V17" s="4" t="s">
        <v>60</v>
      </c>
      <c r="W17" s="7" t="n">
        <v>36200</v>
      </c>
      <c r="X17" s="7" t="n">
        <v>9300</v>
      </c>
      <c r="Y17" s="6" t="n">
        <f aca="false">IF(OR(W17="",W17=0,X17=""),"",X17/W17)</f>
        <v>0.256906077348066</v>
      </c>
      <c r="Z17" s="4" t="n">
        <v>14</v>
      </c>
      <c r="AA17" s="8" t="s">
        <v>157</v>
      </c>
      <c r="AB17" s="9" t="s">
        <v>62</v>
      </c>
      <c r="AC17" s="10"/>
      <c r="AD17" s="4"/>
      <c r="AE17" s="11" t="n">
        <f aca="false">IF(AB17&lt;&gt;"Published",COUNTIF($AB$2:AB17,"&lt;&gt;Published"),"")</f>
        <v>16</v>
      </c>
    </row>
    <row r="18" customFormat="false" ht="39.55" hidden="false" customHeight="false" outlineLevel="0" collapsed="false">
      <c r="A18" s="4" t="n">
        <v>17</v>
      </c>
      <c r="B18" s="4" t="n">
        <f aca="false">ROUNDUP(A18/3,0)</f>
        <v>6</v>
      </c>
      <c r="C18" s="4" t="s">
        <v>48</v>
      </c>
      <c r="D18" s="4" t="s">
        <v>158</v>
      </c>
      <c r="E18" s="4" t="s">
        <v>50</v>
      </c>
      <c r="F18" s="5" t="s">
        <v>159</v>
      </c>
      <c r="G18" s="5" t="s">
        <v>160</v>
      </c>
      <c r="H18" s="4" t="s">
        <v>53</v>
      </c>
      <c r="I18" s="4" t="s">
        <v>54</v>
      </c>
      <c r="J18" s="4" t="s">
        <v>124</v>
      </c>
      <c r="K18" s="4" t="s">
        <v>94</v>
      </c>
      <c r="L18" s="4" t="s">
        <v>95</v>
      </c>
      <c r="M18" s="4" t="s">
        <v>96</v>
      </c>
      <c r="N18" s="4" t="n">
        <v>4</v>
      </c>
      <c r="O18" s="4" t="n">
        <v>3</v>
      </c>
      <c r="P18" s="4" t="n">
        <v>0</v>
      </c>
      <c r="Q18" s="4" t="n">
        <v>0</v>
      </c>
      <c r="R18" s="6" t="n">
        <v>0.34</v>
      </c>
      <c r="S18" s="6" t="n">
        <v>0.17</v>
      </c>
      <c r="T18" s="4"/>
      <c r="U18" s="5" t="s">
        <v>161</v>
      </c>
      <c r="V18" s="4" t="s">
        <v>146</v>
      </c>
      <c r="W18" s="7" t="n">
        <v>37100</v>
      </c>
      <c r="X18" s="7" t="n">
        <v>9700</v>
      </c>
      <c r="Y18" s="6" t="n">
        <f aca="false">IF(OR(W18="",W18=0,X18=""),"",X18/W18)</f>
        <v>0.261455525606469</v>
      </c>
      <c r="Z18" s="4" t="n">
        <v>9</v>
      </c>
      <c r="AA18" s="8" t="s">
        <v>162</v>
      </c>
      <c r="AB18" s="9" t="s">
        <v>62</v>
      </c>
      <c r="AC18" s="10"/>
      <c r="AD18" s="4"/>
      <c r="AE18" s="11" t="n">
        <f aca="false">IF(AB18&lt;&gt;"Published",COUNTIF($AB$2:AB18,"&lt;&gt;Published"),"")</f>
        <v>17</v>
      </c>
    </row>
    <row r="19" customFormat="false" ht="39.55" hidden="false" customHeight="false" outlineLevel="0" collapsed="false">
      <c r="A19" s="4" t="n">
        <v>18</v>
      </c>
      <c r="B19" s="4" t="n">
        <f aca="false">ROUNDUP(A19/3,0)</f>
        <v>6</v>
      </c>
      <c r="C19" s="4" t="s">
        <v>48</v>
      </c>
      <c r="D19" s="4" t="s">
        <v>163</v>
      </c>
      <c r="E19" s="4" t="s">
        <v>64</v>
      </c>
      <c r="F19" s="5" t="s">
        <v>164</v>
      </c>
      <c r="G19" s="5" t="s">
        <v>165</v>
      </c>
      <c r="H19" s="4" t="s">
        <v>53</v>
      </c>
      <c r="I19" s="4" t="s">
        <v>54</v>
      </c>
      <c r="J19" s="4" t="s">
        <v>63</v>
      </c>
      <c r="K19" s="4" t="s">
        <v>56</v>
      </c>
      <c r="L19" s="4" t="s">
        <v>115</v>
      </c>
      <c r="M19" s="4" t="s">
        <v>67</v>
      </c>
      <c r="N19" s="4" t="n">
        <v>26</v>
      </c>
      <c r="O19" s="4" t="n">
        <v>18</v>
      </c>
      <c r="P19" s="4" t="n">
        <v>1</v>
      </c>
      <c r="Q19" s="4" t="n">
        <v>0</v>
      </c>
      <c r="R19" s="6" t="n">
        <v>1.11</v>
      </c>
      <c r="S19" s="6" t="n">
        <v>1.77</v>
      </c>
      <c r="T19" s="4" t="n">
        <v>6</v>
      </c>
      <c r="U19" s="5" t="s">
        <v>166</v>
      </c>
      <c r="V19" s="4" t="s">
        <v>117</v>
      </c>
      <c r="W19" s="7" t="n">
        <v>77800</v>
      </c>
      <c r="X19" s="7" t="n">
        <v>46000</v>
      </c>
      <c r="Y19" s="6" t="n">
        <f aca="false">IF(OR(W19="",W19=0,X19=""),"",X19/W19)</f>
        <v>0.591259640102828</v>
      </c>
      <c r="Z19" s="4" t="n">
        <v>3</v>
      </c>
      <c r="AA19" s="8" t="s">
        <v>167</v>
      </c>
      <c r="AB19" s="9" t="s">
        <v>62</v>
      </c>
      <c r="AC19" s="10"/>
      <c r="AD19" s="4"/>
      <c r="AE19" s="11" t="n">
        <f aca="false">IF(AB19&lt;&gt;"Published",COUNTIF($AB$2:AB19,"&lt;&gt;Published"),"")</f>
        <v>18</v>
      </c>
    </row>
    <row r="20" customFormat="false" ht="39.55" hidden="false" customHeight="false" outlineLevel="0" collapsed="false">
      <c r="A20" s="4" t="n">
        <v>19</v>
      </c>
      <c r="B20" s="4" t="n">
        <f aca="false">ROUNDUP(A20/3,0)</f>
        <v>7</v>
      </c>
      <c r="C20" s="4" t="s">
        <v>48</v>
      </c>
      <c r="D20" s="4" t="s">
        <v>168</v>
      </c>
      <c r="E20" s="4" t="s">
        <v>50</v>
      </c>
      <c r="F20" s="5" t="s">
        <v>169</v>
      </c>
      <c r="G20" s="5" t="s">
        <v>170</v>
      </c>
      <c r="H20" s="4" t="s">
        <v>53</v>
      </c>
      <c r="I20" s="4" t="s">
        <v>87</v>
      </c>
      <c r="J20" s="4" t="s">
        <v>124</v>
      </c>
      <c r="K20" s="4" t="s">
        <v>114</v>
      </c>
      <c r="L20" s="4" t="s">
        <v>57</v>
      </c>
      <c r="M20" s="4" t="s">
        <v>58</v>
      </c>
      <c r="N20" s="4" t="n">
        <v>27</v>
      </c>
      <c r="O20" s="4" t="n">
        <v>17</v>
      </c>
      <c r="P20" s="4" t="n">
        <v>7</v>
      </c>
      <c r="Q20" s="4" t="n">
        <v>1</v>
      </c>
      <c r="R20" s="6" t="n">
        <v>14.64</v>
      </c>
      <c r="S20" s="6" t="n">
        <v>1.83</v>
      </c>
      <c r="T20" s="4" t="n">
        <v>12</v>
      </c>
      <c r="U20" s="5" t="s">
        <v>171</v>
      </c>
      <c r="V20" s="4" t="s">
        <v>172</v>
      </c>
      <c r="W20" s="7" t="n">
        <v>11200</v>
      </c>
      <c r="X20" s="7" t="n">
        <v>164000</v>
      </c>
      <c r="Y20" s="6" t="n">
        <f aca="false">IF(OR(W20="",W20=0,X20=""),"",X20/W20)</f>
        <v>14.6428571428571</v>
      </c>
      <c r="Z20" s="4" t="n">
        <v>8</v>
      </c>
      <c r="AA20" s="8" t="s">
        <v>173</v>
      </c>
      <c r="AB20" s="9" t="s">
        <v>62</v>
      </c>
      <c r="AC20" s="10"/>
      <c r="AD20" s="4"/>
      <c r="AE20" s="11" t="n">
        <f aca="false">IF(AB20&lt;&gt;"Published",COUNTIF($AB$2:AB20,"&lt;&gt;Published"),"")</f>
        <v>19</v>
      </c>
    </row>
    <row r="21" customFormat="false" ht="26.85" hidden="false" customHeight="false" outlineLevel="0" collapsed="false">
      <c r="A21" s="4" t="n">
        <v>20</v>
      </c>
      <c r="B21" s="4" t="n">
        <f aca="false">ROUNDUP(A21/3,0)</f>
        <v>7</v>
      </c>
      <c r="C21" s="4" t="s">
        <v>48</v>
      </c>
      <c r="D21" s="4" t="s">
        <v>174</v>
      </c>
      <c r="E21" s="4" t="s">
        <v>64</v>
      </c>
      <c r="F21" s="5" t="s">
        <v>175</v>
      </c>
      <c r="G21" s="5" t="s">
        <v>176</v>
      </c>
      <c r="H21" s="4" t="s">
        <v>53</v>
      </c>
      <c r="I21" s="4" t="s">
        <v>54</v>
      </c>
      <c r="J21" s="4" t="s">
        <v>55</v>
      </c>
      <c r="K21" s="4" t="s">
        <v>56</v>
      </c>
      <c r="L21" s="4" t="s">
        <v>115</v>
      </c>
      <c r="M21" s="4" t="s">
        <v>58</v>
      </c>
      <c r="N21" s="4" t="n">
        <v>34</v>
      </c>
      <c r="O21" s="4" t="n">
        <v>23</v>
      </c>
      <c r="P21" s="4" t="n">
        <v>3</v>
      </c>
      <c r="Q21" s="4" t="n">
        <v>0</v>
      </c>
      <c r="R21" s="6" t="n">
        <v>2.18</v>
      </c>
      <c r="S21" s="6" t="n">
        <v>0.45</v>
      </c>
      <c r="T21" s="4" t="n">
        <v>8</v>
      </c>
      <c r="U21" s="5" t="s">
        <v>177</v>
      </c>
      <c r="V21" s="4" t="s">
        <v>178</v>
      </c>
      <c r="W21" s="7" t="n">
        <v>113000</v>
      </c>
      <c r="X21" s="7" t="n">
        <v>246000</v>
      </c>
      <c r="Y21" s="6" t="n">
        <f aca="false">IF(OR(W21="",W21=0,X21=""),"",X21/W21)</f>
        <v>2.17699115044248</v>
      </c>
      <c r="Z21" s="4" t="n">
        <v>8</v>
      </c>
      <c r="AA21" s="8" t="s">
        <v>179</v>
      </c>
      <c r="AB21" s="9" t="s">
        <v>62</v>
      </c>
      <c r="AC21" s="10"/>
      <c r="AD21" s="4"/>
      <c r="AE21" s="11" t="n">
        <f aca="false">IF(AB21&lt;&gt;"Published",COUNTIF($AB$2:AB21,"&lt;&gt;Published"),"")</f>
        <v>20</v>
      </c>
    </row>
    <row r="22" customFormat="false" ht="39.55" hidden="false" customHeight="false" outlineLevel="0" collapsed="false">
      <c r="A22" s="4" t="n">
        <v>21</v>
      </c>
      <c r="B22" s="4" t="n">
        <f aca="false">ROUNDUP(A22/3,0)</f>
        <v>7</v>
      </c>
      <c r="C22" s="4" t="s">
        <v>48</v>
      </c>
      <c r="D22" s="4" t="s">
        <v>180</v>
      </c>
      <c r="E22" s="4" t="s">
        <v>50</v>
      </c>
      <c r="F22" s="5" t="s">
        <v>181</v>
      </c>
      <c r="G22" s="5" t="s">
        <v>182</v>
      </c>
      <c r="H22" s="4" t="s">
        <v>74</v>
      </c>
      <c r="I22" s="4" t="s">
        <v>54</v>
      </c>
      <c r="J22" s="4" t="s">
        <v>55</v>
      </c>
      <c r="K22" s="4" t="s">
        <v>56</v>
      </c>
      <c r="L22" s="4" t="s">
        <v>115</v>
      </c>
      <c r="M22" s="4" t="s">
        <v>58</v>
      </c>
      <c r="N22" s="4" t="n">
        <v>62</v>
      </c>
      <c r="O22" s="4" t="n">
        <v>24</v>
      </c>
      <c r="P22" s="4" t="n">
        <v>11</v>
      </c>
      <c r="Q22" s="4" t="n">
        <v>1</v>
      </c>
      <c r="R22" s="6" t="n">
        <v>10.22</v>
      </c>
      <c r="S22" s="6" t="n">
        <v>1.42</v>
      </c>
      <c r="T22" s="4" t="n">
        <v>14</v>
      </c>
      <c r="U22" s="5" t="s">
        <v>183</v>
      </c>
      <c r="V22" s="4" t="s">
        <v>60</v>
      </c>
      <c r="W22" s="7" t="n">
        <v>36200</v>
      </c>
      <c r="X22" s="7" t="n">
        <v>370000</v>
      </c>
      <c r="Y22" s="6" t="n">
        <f aca="false">IF(OR(W22="",W22=0,X22=""),"",X22/W22)</f>
        <v>10.2209944751381</v>
      </c>
      <c r="Z22" s="4" t="n">
        <v>14</v>
      </c>
      <c r="AA22" s="8" t="s">
        <v>184</v>
      </c>
      <c r="AB22" s="9" t="s">
        <v>62</v>
      </c>
      <c r="AC22" s="10"/>
      <c r="AD22" s="4"/>
      <c r="AE22" s="11" t="n">
        <f aca="false">IF(AB22&lt;&gt;"Published",COUNTIF($AB$2:AB22,"&lt;&gt;Published"),"")</f>
        <v>21</v>
      </c>
    </row>
    <row r="23" customFormat="false" ht="39.55" hidden="false" customHeight="false" outlineLevel="0" collapsed="false">
      <c r="A23" s="4" t="n">
        <v>22</v>
      </c>
      <c r="B23" s="4" t="n">
        <f aca="false">ROUNDUP(A23/3,0)</f>
        <v>8</v>
      </c>
      <c r="C23" s="4" t="s">
        <v>48</v>
      </c>
      <c r="D23" s="4" t="s">
        <v>185</v>
      </c>
      <c r="E23" s="4" t="s">
        <v>64</v>
      </c>
      <c r="F23" s="5" t="s">
        <v>186</v>
      </c>
      <c r="G23" s="5" t="s">
        <v>187</v>
      </c>
      <c r="H23" s="4" t="s">
        <v>53</v>
      </c>
      <c r="I23" s="4" t="s">
        <v>127</v>
      </c>
      <c r="J23" s="4" t="s">
        <v>142</v>
      </c>
      <c r="K23" s="4" t="s">
        <v>94</v>
      </c>
      <c r="L23" s="4" t="s">
        <v>115</v>
      </c>
      <c r="M23" s="4" t="s">
        <v>58</v>
      </c>
      <c r="N23" s="4" t="n">
        <v>18</v>
      </c>
      <c r="O23" s="4" t="n">
        <v>15</v>
      </c>
      <c r="P23" s="4" t="n">
        <v>4</v>
      </c>
      <c r="Q23" s="4" t="n">
        <v>1</v>
      </c>
      <c r="R23" s="6" t="n">
        <v>8.37</v>
      </c>
      <c r="S23" s="6" t="n">
        <v>1.37</v>
      </c>
      <c r="T23" s="4" t="n">
        <v>8.5</v>
      </c>
      <c r="U23" s="5" t="s">
        <v>188</v>
      </c>
      <c r="V23" s="4" t="s">
        <v>60</v>
      </c>
      <c r="W23" s="7" t="n">
        <v>36200</v>
      </c>
      <c r="X23" s="7" t="n">
        <v>303000</v>
      </c>
      <c r="Y23" s="6" t="n">
        <f aca="false">IF(OR(W23="",W23=0,X23=""),"",X23/W23)</f>
        <v>8.37016574585635</v>
      </c>
      <c r="Z23" s="4" t="n">
        <v>13</v>
      </c>
      <c r="AA23" s="8" t="s">
        <v>189</v>
      </c>
      <c r="AB23" s="9" t="s">
        <v>62</v>
      </c>
      <c r="AC23" s="10"/>
      <c r="AD23" s="4"/>
      <c r="AE23" s="11" t="n">
        <f aca="false">IF(AB23&lt;&gt;"Published",COUNTIF($AB$2:AB23,"&lt;&gt;Published"),"")</f>
        <v>22</v>
      </c>
    </row>
    <row r="24" customFormat="false" ht="39.55" hidden="false" customHeight="false" outlineLevel="0" collapsed="false">
      <c r="A24" s="4" t="n">
        <v>23</v>
      </c>
      <c r="B24" s="4" t="n">
        <f aca="false">ROUNDUP(A24/3,0)</f>
        <v>8</v>
      </c>
      <c r="C24" s="4" t="s">
        <v>48</v>
      </c>
      <c r="D24" s="4" t="s">
        <v>190</v>
      </c>
      <c r="E24" s="4" t="s">
        <v>50</v>
      </c>
      <c r="F24" s="5" t="s">
        <v>191</v>
      </c>
      <c r="G24" s="5" t="s">
        <v>192</v>
      </c>
      <c r="H24" s="4" t="s">
        <v>53</v>
      </c>
      <c r="I24" s="4" t="s">
        <v>87</v>
      </c>
      <c r="J24" s="4" t="s">
        <v>180</v>
      </c>
      <c r="K24" s="4" t="s">
        <v>56</v>
      </c>
      <c r="L24" s="4" t="s">
        <v>57</v>
      </c>
      <c r="M24" s="4" t="s">
        <v>58</v>
      </c>
      <c r="N24" s="4" t="n">
        <v>45</v>
      </c>
      <c r="O24" s="4" t="n">
        <v>22</v>
      </c>
      <c r="P24" s="4" t="n">
        <v>6</v>
      </c>
      <c r="Q24" s="4" t="n">
        <v>0</v>
      </c>
      <c r="R24" s="6" t="n">
        <v>6.11</v>
      </c>
      <c r="S24" s="6" t="n">
        <v>3.05</v>
      </c>
      <c r="T24" s="4" t="n">
        <v>13</v>
      </c>
      <c r="U24" s="5" t="s">
        <v>193</v>
      </c>
      <c r="V24" s="4" t="s">
        <v>76</v>
      </c>
      <c r="W24" s="7" t="n">
        <v>38300</v>
      </c>
      <c r="X24" s="7" t="n">
        <v>234000</v>
      </c>
      <c r="Y24" s="6" t="n">
        <f aca="false">IF(OR(W24="",W24=0,X24=""),"",X24/W24)</f>
        <v>6.10966057441253</v>
      </c>
      <c r="Z24" s="4" t="n">
        <v>14</v>
      </c>
      <c r="AA24" s="8" t="s">
        <v>194</v>
      </c>
      <c r="AB24" s="9" t="s">
        <v>62</v>
      </c>
      <c r="AC24" s="10"/>
      <c r="AD24" s="4"/>
      <c r="AE24" s="11" t="n">
        <f aca="false">IF(AB24&lt;&gt;"Published",COUNTIF($AB$2:AB24,"&lt;&gt;Published"),"")</f>
        <v>23</v>
      </c>
    </row>
    <row r="25" customFormat="false" ht="39.55" hidden="false" customHeight="false" outlineLevel="0" collapsed="false">
      <c r="A25" s="4" t="n">
        <v>24</v>
      </c>
      <c r="B25" s="4" t="n">
        <f aca="false">ROUNDUP(A25/3,0)</f>
        <v>8</v>
      </c>
      <c r="C25" s="4" t="s">
        <v>48</v>
      </c>
      <c r="D25" s="4" t="s">
        <v>195</v>
      </c>
      <c r="E25" s="4" t="s">
        <v>64</v>
      </c>
      <c r="F25" s="5" t="s">
        <v>196</v>
      </c>
      <c r="G25" s="5" t="s">
        <v>197</v>
      </c>
      <c r="H25" s="4" t="s">
        <v>53</v>
      </c>
      <c r="I25" s="4" t="s">
        <v>54</v>
      </c>
      <c r="J25" s="4" t="s">
        <v>185</v>
      </c>
      <c r="K25" s="4" t="s">
        <v>94</v>
      </c>
      <c r="L25" s="4" t="s">
        <v>115</v>
      </c>
      <c r="M25" s="4" t="s">
        <v>58</v>
      </c>
      <c r="N25" s="4" t="n">
        <v>5</v>
      </c>
      <c r="O25" s="4" t="n">
        <v>4</v>
      </c>
      <c r="P25" s="4" t="n">
        <v>3</v>
      </c>
      <c r="Q25" s="4" t="n">
        <v>0</v>
      </c>
      <c r="R25" s="6" t="n">
        <v>8.37</v>
      </c>
      <c r="S25" s="6" t="n">
        <v>0.64</v>
      </c>
      <c r="T25" s="4" t="n">
        <v>13</v>
      </c>
      <c r="U25" s="5" t="s">
        <v>188</v>
      </c>
      <c r="V25" s="4" t="s">
        <v>60</v>
      </c>
      <c r="W25" s="7" t="n">
        <v>36200</v>
      </c>
      <c r="X25" s="7" t="n">
        <v>303000</v>
      </c>
      <c r="Y25" s="6" t="n">
        <f aca="false">IF(OR(W25="",W25=0,X25=""),"",X25/W25)</f>
        <v>8.37016574585635</v>
      </c>
      <c r="Z25" s="4" t="n">
        <v>13</v>
      </c>
      <c r="AA25" s="8" t="s">
        <v>189</v>
      </c>
      <c r="AB25" s="9" t="s">
        <v>62</v>
      </c>
      <c r="AC25" s="10"/>
      <c r="AD25" s="4"/>
      <c r="AE25" s="11" t="n">
        <f aca="false">IF(AB25&lt;&gt;"Published",COUNTIF($AB$2:AB25,"&lt;&gt;Published"),"")</f>
        <v>24</v>
      </c>
    </row>
    <row r="26" customFormat="false" ht="39.55" hidden="false" customHeight="false" outlineLevel="0" collapsed="false">
      <c r="A26" s="4" t="n">
        <v>25</v>
      </c>
      <c r="B26" s="4" t="n">
        <f aca="false">ROUNDUP(A26/3,0)</f>
        <v>9</v>
      </c>
      <c r="C26" s="4" t="s">
        <v>198</v>
      </c>
      <c r="D26" s="4" t="s">
        <v>93</v>
      </c>
      <c r="E26" s="4" t="s">
        <v>50</v>
      </c>
      <c r="F26" s="5" t="s">
        <v>199</v>
      </c>
      <c r="G26" s="5" t="s">
        <v>200</v>
      </c>
      <c r="H26" s="4" t="s">
        <v>53</v>
      </c>
      <c r="I26" s="4" t="s">
        <v>54</v>
      </c>
      <c r="J26" s="4" t="s">
        <v>180</v>
      </c>
      <c r="K26" s="4" t="s">
        <v>94</v>
      </c>
      <c r="L26" s="4" t="s">
        <v>57</v>
      </c>
      <c r="M26" s="4" t="s">
        <v>58</v>
      </c>
      <c r="N26" s="4" t="n">
        <v>98</v>
      </c>
      <c r="O26" s="4" t="n">
        <v>21</v>
      </c>
      <c r="P26" s="4" t="n">
        <v>12</v>
      </c>
      <c r="Q26" s="4" t="n">
        <v>0</v>
      </c>
      <c r="R26" s="6" t="n">
        <v>9.7</v>
      </c>
      <c r="S26" s="6" t="n">
        <v>4.63</v>
      </c>
      <c r="T26" s="4" t="n">
        <v>12</v>
      </c>
      <c r="U26" s="5" t="s">
        <v>201</v>
      </c>
      <c r="V26" s="4" t="s">
        <v>60</v>
      </c>
      <c r="W26" s="7" t="n">
        <v>36200</v>
      </c>
      <c r="X26" s="7" t="n">
        <v>351000</v>
      </c>
      <c r="Y26" s="6" t="n">
        <f aca="false">IF(OR(W26="",W26=0,X26=""),"",X26/W26)</f>
        <v>9.69613259668508</v>
      </c>
      <c r="Z26" s="4" t="n">
        <v>14</v>
      </c>
      <c r="AA26" s="8" t="s">
        <v>202</v>
      </c>
      <c r="AB26" s="9" t="s">
        <v>62</v>
      </c>
      <c r="AC26" s="10"/>
      <c r="AD26" s="4"/>
      <c r="AE26" s="11" t="n">
        <f aca="false">IF(AB26&lt;&gt;"Published",COUNTIF($AB$2:AB26,"&lt;&gt;Published"),"")</f>
        <v>25</v>
      </c>
    </row>
    <row r="27" customFormat="false" ht="26.85" hidden="false" customHeight="false" outlineLevel="0" collapsed="false">
      <c r="A27" s="4" t="n">
        <v>26</v>
      </c>
      <c r="B27" s="4" t="n">
        <f aca="false">ROUNDUP(A27/3,0)</f>
        <v>9</v>
      </c>
      <c r="C27" s="4" t="s">
        <v>198</v>
      </c>
      <c r="D27" s="4" t="s">
        <v>203</v>
      </c>
      <c r="E27" s="4" t="s">
        <v>64</v>
      </c>
      <c r="F27" s="5" t="s">
        <v>204</v>
      </c>
      <c r="G27" s="5" t="s">
        <v>205</v>
      </c>
      <c r="H27" s="4" t="s">
        <v>53</v>
      </c>
      <c r="I27" s="4" t="s">
        <v>107</v>
      </c>
      <c r="J27" s="4" t="s">
        <v>206</v>
      </c>
      <c r="K27" s="4" t="s">
        <v>94</v>
      </c>
      <c r="L27" s="4" t="s">
        <v>57</v>
      </c>
      <c r="M27" s="4" t="s">
        <v>67</v>
      </c>
      <c r="N27" s="4" t="n">
        <v>29</v>
      </c>
      <c r="O27" s="4" t="n">
        <v>11</v>
      </c>
      <c r="P27" s="4" t="n">
        <v>12</v>
      </c>
      <c r="Q27" s="4" t="n">
        <v>2</v>
      </c>
      <c r="R27" s="6" t="n">
        <v>5.93</v>
      </c>
      <c r="S27" s="6" t="n">
        <v>1.25</v>
      </c>
      <c r="T27" s="4" t="n">
        <v>4.5</v>
      </c>
      <c r="U27" s="5" t="s">
        <v>207</v>
      </c>
      <c r="V27" s="4" t="s">
        <v>76</v>
      </c>
      <c r="W27" s="7" t="n">
        <v>38300</v>
      </c>
      <c r="X27" s="7" t="n">
        <v>227000</v>
      </c>
      <c r="Y27" s="6" t="n">
        <f aca="false">IF(OR(W27="",W27=0,X27=""),"",X27/W27)</f>
        <v>5.92689295039165</v>
      </c>
      <c r="Z27" s="4" t="n">
        <v>14</v>
      </c>
      <c r="AA27" s="8" t="s">
        <v>208</v>
      </c>
      <c r="AB27" s="9" t="s">
        <v>62</v>
      </c>
      <c r="AC27" s="10"/>
      <c r="AD27" s="4"/>
      <c r="AE27" s="11" t="n">
        <f aca="false">IF(AB27&lt;&gt;"Published",COUNTIF($AB$2:AB27,"&lt;&gt;Published"),"")</f>
        <v>26</v>
      </c>
    </row>
    <row r="28" customFormat="false" ht="26.85" hidden="false" customHeight="false" outlineLevel="0" collapsed="false">
      <c r="A28" s="4" t="n">
        <v>27</v>
      </c>
      <c r="B28" s="4" t="n">
        <f aca="false">ROUNDUP(A28/3,0)</f>
        <v>9</v>
      </c>
      <c r="C28" s="4" t="s">
        <v>198</v>
      </c>
      <c r="D28" s="4" t="s">
        <v>209</v>
      </c>
      <c r="E28" s="4" t="s">
        <v>210</v>
      </c>
      <c r="F28" s="5" t="s">
        <v>211</v>
      </c>
      <c r="G28" s="5" t="s">
        <v>212</v>
      </c>
      <c r="H28" s="4" t="s">
        <v>53</v>
      </c>
      <c r="I28" s="4" t="s">
        <v>54</v>
      </c>
      <c r="J28" s="4" t="s">
        <v>55</v>
      </c>
      <c r="K28" s="4" t="s">
        <v>213</v>
      </c>
      <c r="L28" s="4" t="s">
        <v>57</v>
      </c>
      <c r="M28" s="4" t="s">
        <v>58</v>
      </c>
      <c r="N28" s="4" t="n">
        <v>13</v>
      </c>
      <c r="O28" s="4" t="n">
        <v>11</v>
      </c>
      <c r="P28" s="4" t="n">
        <v>7</v>
      </c>
      <c r="Q28" s="4" t="n">
        <v>2</v>
      </c>
      <c r="R28" s="6" t="n">
        <v>25.65</v>
      </c>
      <c r="S28" s="6" t="n">
        <v>2.36</v>
      </c>
      <c r="T28" s="4" t="n">
        <v>8</v>
      </c>
      <c r="U28" s="5" t="s">
        <v>214</v>
      </c>
      <c r="V28" s="4" t="s">
        <v>215</v>
      </c>
      <c r="W28" s="7" t="n">
        <v>34000</v>
      </c>
      <c r="X28" s="7" t="n">
        <v>872000</v>
      </c>
      <c r="Y28" s="6" t="n">
        <f aca="false">IF(OR(W28="",W28=0,X28=""),"",X28/W28)</f>
        <v>25.6470588235294</v>
      </c>
      <c r="Z28" s="4" t="n">
        <v>13</v>
      </c>
      <c r="AA28" s="8" t="s">
        <v>216</v>
      </c>
      <c r="AB28" s="9" t="s">
        <v>62</v>
      </c>
      <c r="AC28" s="10"/>
      <c r="AD28" s="4"/>
      <c r="AE28" s="11" t="n">
        <f aca="false">IF(AB28&lt;&gt;"Published",COUNTIF($AB$2:AB28,"&lt;&gt;Published"),"")</f>
        <v>27</v>
      </c>
    </row>
    <row r="29" customFormat="false" ht="39.55" hidden="false" customHeight="false" outlineLevel="0" collapsed="false">
      <c r="A29" s="4" t="n">
        <v>28</v>
      </c>
      <c r="B29" s="4" t="n">
        <f aca="false">ROUNDUP(A29/3,0)</f>
        <v>10</v>
      </c>
      <c r="C29" s="4" t="s">
        <v>198</v>
      </c>
      <c r="D29" s="4" t="s">
        <v>217</v>
      </c>
      <c r="E29" s="4" t="s">
        <v>218</v>
      </c>
      <c r="F29" s="5" t="s">
        <v>219</v>
      </c>
      <c r="G29" s="5" t="s">
        <v>220</v>
      </c>
      <c r="H29" s="4" t="s">
        <v>53</v>
      </c>
      <c r="I29" s="4" t="s">
        <v>127</v>
      </c>
      <c r="J29" s="4" t="s">
        <v>221</v>
      </c>
      <c r="K29" s="4" t="s">
        <v>94</v>
      </c>
      <c r="L29" s="4" t="s">
        <v>57</v>
      </c>
      <c r="M29" s="4" t="s">
        <v>58</v>
      </c>
      <c r="N29" s="4" t="n">
        <v>24</v>
      </c>
      <c r="O29" s="4" t="n">
        <v>8</v>
      </c>
      <c r="P29" s="4" t="n">
        <v>5</v>
      </c>
      <c r="Q29" s="4" t="n">
        <v>3</v>
      </c>
      <c r="R29" s="6" t="n">
        <v>13.67</v>
      </c>
      <c r="S29" s="6" t="n">
        <v>1.72</v>
      </c>
      <c r="T29" s="4" t="n">
        <v>12</v>
      </c>
      <c r="U29" s="5" t="s">
        <v>222</v>
      </c>
      <c r="V29" s="4" t="s">
        <v>223</v>
      </c>
      <c r="W29" s="7" t="n">
        <v>28100</v>
      </c>
      <c r="X29" s="7" t="n">
        <v>384000</v>
      </c>
      <c r="Y29" s="6" t="n">
        <f aca="false">IF(OR(W29="",W29=0,X29=""),"",X29/W29)</f>
        <v>13.6654804270463</v>
      </c>
      <c r="Z29" s="4" t="n">
        <v>13</v>
      </c>
      <c r="AA29" s="8" t="s">
        <v>224</v>
      </c>
      <c r="AB29" s="9" t="s">
        <v>62</v>
      </c>
      <c r="AC29" s="10"/>
      <c r="AD29" s="4"/>
      <c r="AE29" s="11" t="n">
        <f aca="false">IF(AB29&lt;&gt;"Published",COUNTIF($AB$2:AB29,"&lt;&gt;Published"),"")</f>
        <v>28</v>
      </c>
    </row>
    <row r="30" customFormat="false" ht="26.85" hidden="false" customHeight="false" outlineLevel="0" collapsed="false">
      <c r="A30" s="4" t="n">
        <v>29</v>
      </c>
      <c r="B30" s="4" t="n">
        <f aca="false">ROUNDUP(A30/3,0)</f>
        <v>10</v>
      </c>
      <c r="C30" s="4" t="s">
        <v>198</v>
      </c>
      <c r="D30" s="4" t="s">
        <v>225</v>
      </c>
      <c r="E30" s="4" t="s">
        <v>50</v>
      </c>
      <c r="F30" s="5" t="s">
        <v>226</v>
      </c>
      <c r="G30" s="5" t="s">
        <v>227</v>
      </c>
      <c r="H30" s="4" t="s">
        <v>228</v>
      </c>
      <c r="I30" s="4" t="s">
        <v>229</v>
      </c>
      <c r="J30" s="4" t="s">
        <v>230</v>
      </c>
      <c r="K30" s="4" t="s">
        <v>94</v>
      </c>
      <c r="L30" s="4" t="s">
        <v>57</v>
      </c>
      <c r="M30" s="4" t="s">
        <v>231</v>
      </c>
      <c r="N30" s="4" t="n">
        <v>11</v>
      </c>
      <c r="O30" s="4" t="n">
        <v>5</v>
      </c>
      <c r="P30" s="4" t="n">
        <v>9</v>
      </c>
      <c r="Q30" s="4" t="n">
        <v>8</v>
      </c>
      <c r="R30" s="6" t="n">
        <v>36.21</v>
      </c>
      <c r="S30" s="6" t="n">
        <v>36.21</v>
      </c>
      <c r="T30" s="4" t="n">
        <v>3</v>
      </c>
      <c r="U30" s="5" t="s">
        <v>232</v>
      </c>
      <c r="V30" s="4" t="s">
        <v>233</v>
      </c>
      <c r="W30" s="7" t="n">
        <v>145000</v>
      </c>
      <c r="X30" s="7" t="n">
        <v>3100000</v>
      </c>
      <c r="Y30" s="6" t="n">
        <f aca="false">IF(OR(W30="",W30=0,X30=""),"",X30/W30)</f>
        <v>21.3793103448276</v>
      </c>
      <c r="Z30" s="4" t="n">
        <v>1</v>
      </c>
      <c r="AA30" s="8" t="s">
        <v>234</v>
      </c>
      <c r="AB30" s="9" t="s">
        <v>62</v>
      </c>
      <c r="AC30" s="10"/>
      <c r="AD30" s="4"/>
      <c r="AE30" s="11" t="n">
        <f aca="false">IF(AB30&lt;&gt;"Published",COUNTIF($AB$2:AB30,"&lt;&gt;Published"),"")</f>
        <v>29</v>
      </c>
    </row>
    <row r="31" customFormat="false" ht="39.55" hidden="false" customHeight="false" outlineLevel="0" collapsed="false">
      <c r="A31" s="4" t="n">
        <v>30</v>
      </c>
      <c r="B31" s="4" t="n">
        <f aca="false">ROUNDUP(A31/3,0)</f>
        <v>10</v>
      </c>
      <c r="C31" s="4" t="s">
        <v>198</v>
      </c>
      <c r="D31" s="4" t="s">
        <v>235</v>
      </c>
      <c r="E31" s="4" t="s">
        <v>50</v>
      </c>
      <c r="F31" s="5" t="s">
        <v>236</v>
      </c>
      <c r="G31" s="5" t="s">
        <v>237</v>
      </c>
      <c r="H31" s="4" t="s">
        <v>53</v>
      </c>
      <c r="I31" s="4" t="s">
        <v>127</v>
      </c>
      <c r="J31" s="4" t="s">
        <v>180</v>
      </c>
      <c r="K31" s="4" t="s">
        <v>56</v>
      </c>
      <c r="L31" s="4" t="s">
        <v>57</v>
      </c>
      <c r="M31" s="4" t="s">
        <v>67</v>
      </c>
      <c r="N31" s="4" t="n">
        <v>148</v>
      </c>
      <c r="O31" s="4" t="n">
        <v>35</v>
      </c>
      <c r="P31" s="4" t="n">
        <v>29</v>
      </c>
      <c r="Q31" s="4" t="n">
        <v>5</v>
      </c>
      <c r="R31" s="6" t="n">
        <v>11.85</v>
      </c>
      <c r="S31" s="6" t="n">
        <v>8.05</v>
      </c>
      <c r="T31" s="4" t="n">
        <v>7</v>
      </c>
      <c r="U31" s="5" t="s">
        <v>238</v>
      </c>
      <c r="V31" s="4" t="s">
        <v>239</v>
      </c>
      <c r="W31" s="7" t="n">
        <v>47700</v>
      </c>
      <c r="X31" s="7" t="n">
        <v>302000</v>
      </c>
      <c r="Y31" s="6" t="n">
        <f aca="false">IF(OR(W31="",W31=0,X31=""),"",X31/W31)</f>
        <v>6.33123689727463</v>
      </c>
      <c r="Z31" s="4" t="n">
        <v>6</v>
      </c>
      <c r="AA31" s="8" t="s">
        <v>240</v>
      </c>
      <c r="AB31" s="9" t="s">
        <v>62</v>
      </c>
      <c r="AC31" s="10"/>
      <c r="AD31" s="4"/>
      <c r="AE31" s="11" t="n">
        <f aca="false">IF(AB31&lt;&gt;"Published",COUNTIF($AB$2:AB31,"&lt;&gt;Published"),"")</f>
        <v>30</v>
      </c>
    </row>
    <row r="32" customFormat="false" ht="26.85" hidden="false" customHeight="false" outlineLevel="0" collapsed="false">
      <c r="A32" s="4" t="n">
        <v>31</v>
      </c>
      <c r="B32" s="4" t="n">
        <f aca="false">ROUNDUP(A32/3,0)</f>
        <v>11</v>
      </c>
      <c r="C32" s="4" t="s">
        <v>198</v>
      </c>
      <c r="D32" s="4" t="s">
        <v>241</v>
      </c>
      <c r="E32" s="4" t="s">
        <v>64</v>
      </c>
      <c r="F32" s="5" t="s">
        <v>242</v>
      </c>
      <c r="G32" s="5" t="s">
        <v>243</v>
      </c>
      <c r="H32" s="4" t="s">
        <v>53</v>
      </c>
      <c r="I32" s="4" t="s">
        <v>127</v>
      </c>
      <c r="J32" s="4" t="s">
        <v>241</v>
      </c>
      <c r="K32" s="4" t="s">
        <v>56</v>
      </c>
      <c r="L32" s="4" t="s">
        <v>57</v>
      </c>
      <c r="M32" s="4" t="s">
        <v>58</v>
      </c>
      <c r="N32" s="4" t="n">
        <v>80</v>
      </c>
      <c r="O32" s="4" t="n">
        <v>26</v>
      </c>
      <c r="P32" s="4" t="n">
        <v>13</v>
      </c>
      <c r="Q32" s="4" t="n">
        <v>1</v>
      </c>
      <c r="R32" s="6" t="n">
        <v>5.01</v>
      </c>
      <c r="S32" s="6" t="n">
        <v>2.1</v>
      </c>
      <c r="T32" s="4" t="n">
        <v>10</v>
      </c>
      <c r="U32" s="5" t="s">
        <v>244</v>
      </c>
      <c r="V32" s="4" t="s">
        <v>245</v>
      </c>
      <c r="W32" s="7" t="n">
        <v>5990</v>
      </c>
      <c r="X32" s="7" t="n">
        <v>30000</v>
      </c>
      <c r="Y32" s="6" t="n">
        <f aca="false">IF(OR(W32="",W32=0,X32=""),"",X32/W32)</f>
        <v>5.00834724540902</v>
      </c>
      <c r="Z32" s="4" t="n">
        <v>10</v>
      </c>
      <c r="AA32" s="8" t="s">
        <v>246</v>
      </c>
      <c r="AB32" s="9" t="s">
        <v>62</v>
      </c>
      <c r="AC32" s="10"/>
      <c r="AD32" s="4"/>
      <c r="AE32" s="11" t="n">
        <f aca="false">IF(AB32&lt;&gt;"Published",COUNTIF($AB$2:AB32,"&lt;&gt;Published"),"")</f>
        <v>31</v>
      </c>
    </row>
    <row r="33" customFormat="false" ht="26.85" hidden="false" customHeight="false" outlineLevel="0" collapsed="false">
      <c r="A33" s="4" t="n">
        <v>32</v>
      </c>
      <c r="B33" s="4" t="n">
        <f aca="false">ROUNDUP(A33/3,0)</f>
        <v>11</v>
      </c>
      <c r="C33" s="4" t="s">
        <v>198</v>
      </c>
      <c r="D33" s="4" t="s">
        <v>247</v>
      </c>
      <c r="E33" s="4" t="s">
        <v>210</v>
      </c>
      <c r="F33" s="5" t="s">
        <v>248</v>
      </c>
      <c r="G33" s="5" t="s">
        <v>249</v>
      </c>
      <c r="H33" s="4" t="s">
        <v>74</v>
      </c>
      <c r="I33" s="4" t="s">
        <v>54</v>
      </c>
      <c r="J33" s="4" t="s">
        <v>209</v>
      </c>
      <c r="K33" s="4" t="s">
        <v>94</v>
      </c>
      <c r="L33" s="4" t="s">
        <v>57</v>
      </c>
      <c r="M33" s="4" t="s">
        <v>67</v>
      </c>
      <c r="N33" s="4" t="n">
        <v>38</v>
      </c>
      <c r="O33" s="4" t="n">
        <v>11</v>
      </c>
      <c r="P33" s="4" t="n">
        <v>14</v>
      </c>
      <c r="Q33" s="4" t="n">
        <v>3</v>
      </c>
      <c r="R33" s="6" t="n">
        <v>11.8</v>
      </c>
      <c r="S33" s="6" t="n">
        <v>2.36</v>
      </c>
      <c r="T33" s="4" t="n">
        <v>7</v>
      </c>
      <c r="U33" s="5" t="s">
        <v>250</v>
      </c>
      <c r="V33" s="4" t="s">
        <v>251</v>
      </c>
      <c r="W33" s="7" t="n">
        <v>22200</v>
      </c>
      <c r="X33" s="7" t="n">
        <v>262000</v>
      </c>
      <c r="Y33" s="6" t="n">
        <f aca="false">IF(OR(W33="",W33=0,X33=""),"",X33/W33)</f>
        <v>11.8018018018018</v>
      </c>
      <c r="Z33" s="4" t="n">
        <v>5</v>
      </c>
      <c r="AA33" s="8" t="s">
        <v>252</v>
      </c>
      <c r="AB33" s="9" t="s">
        <v>62</v>
      </c>
      <c r="AC33" s="10"/>
      <c r="AD33" s="4"/>
      <c r="AE33" s="11" t="n">
        <f aca="false">IF(AB33&lt;&gt;"Published",COUNTIF($AB$2:AB33,"&lt;&gt;Published"),"")</f>
        <v>32</v>
      </c>
    </row>
    <row r="34" customFormat="false" ht="39.55" hidden="false" customHeight="false" outlineLevel="0" collapsed="false">
      <c r="A34" s="4" t="n">
        <v>33</v>
      </c>
      <c r="B34" s="4" t="n">
        <f aca="false">ROUNDUP(A34/3,0)</f>
        <v>11</v>
      </c>
      <c r="C34" s="4" t="s">
        <v>198</v>
      </c>
      <c r="D34" s="4" t="s">
        <v>253</v>
      </c>
      <c r="E34" s="4" t="s">
        <v>218</v>
      </c>
      <c r="F34" s="5" t="s">
        <v>254</v>
      </c>
      <c r="G34" s="5" t="s">
        <v>255</v>
      </c>
      <c r="H34" s="4" t="s">
        <v>53</v>
      </c>
      <c r="I34" s="4" t="s">
        <v>54</v>
      </c>
      <c r="J34" s="4" t="s">
        <v>217</v>
      </c>
      <c r="K34" s="4" t="s">
        <v>94</v>
      </c>
      <c r="L34" s="4" t="s">
        <v>115</v>
      </c>
      <c r="M34" s="4" t="s">
        <v>58</v>
      </c>
      <c r="N34" s="4" t="n">
        <v>5</v>
      </c>
      <c r="O34" s="4" t="n">
        <v>4</v>
      </c>
      <c r="P34" s="4" t="n">
        <v>1</v>
      </c>
      <c r="Q34" s="4" t="n">
        <v>1</v>
      </c>
      <c r="R34" s="6" t="n">
        <v>13.67</v>
      </c>
      <c r="S34" s="6" t="n">
        <v>1.05</v>
      </c>
      <c r="T34" s="4" t="n">
        <v>13</v>
      </c>
      <c r="U34" s="5" t="s">
        <v>222</v>
      </c>
      <c r="V34" s="4" t="s">
        <v>223</v>
      </c>
      <c r="W34" s="7" t="n">
        <v>28100</v>
      </c>
      <c r="X34" s="7" t="n">
        <v>384000</v>
      </c>
      <c r="Y34" s="6" t="n">
        <f aca="false">IF(OR(W34="",W34=0,X34=""),"",X34/W34)</f>
        <v>13.6654804270463</v>
      </c>
      <c r="Z34" s="4" t="n">
        <v>13</v>
      </c>
      <c r="AA34" s="8" t="s">
        <v>224</v>
      </c>
      <c r="AB34" s="9" t="s">
        <v>62</v>
      </c>
      <c r="AC34" s="10"/>
      <c r="AD34" s="4"/>
      <c r="AE34" s="11" t="n">
        <f aca="false">IF(AB34&lt;&gt;"Published",COUNTIF($AB$2:AB34,"&lt;&gt;Published"),"")</f>
        <v>33</v>
      </c>
    </row>
    <row r="35" customFormat="false" ht="26.85" hidden="false" customHeight="false" outlineLevel="0" collapsed="false">
      <c r="A35" s="4" t="n">
        <v>34</v>
      </c>
      <c r="B35" s="4" t="n">
        <f aca="false">ROUNDUP(A35/3,0)</f>
        <v>12</v>
      </c>
      <c r="C35" s="4" t="s">
        <v>198</v>
      </c>
      <c r="D35" s="4" t="s">
        <v>256</v>
      </c>
      <c r="E35" s="4" t="s">
        <v>50</v>
      </c>
      <c r="F35" s="5" t="s">
        <v>257</v>
      </c>
      <c r="G35" s="5" t="s">
        <v>258</v>
      </c>
      <c r="H35" s="4" t="s">
        <v>53</v>
      </c>
      <c r="I35" s="4" t="s">
        <v>54</v>
      </c>
      <c r="J35" s="4" t="s">
        <v>235</v>
      </c>
      <c r="K35" s="4" t="s">
        <v>56</v>
      </c>
      <c r="L35" s="4" t="s">
        <v>115</v>
      </c>
      <c r="M35" s="4" t="s">
        <v>231</v>
      </c>
      <c r="N35" s="4" t="n">
        <v>20</v>
      </c>
      <c r="O35" s="4" t="n">
        <v>13</v>
      </c>
      <c r="P35" s="4" t="n">
        <v>6</v>
      </c>
      <c r="Q35" s="4" t="n">
        <v>0</v>
      </c>
      <c r="R35" s="6" t="n">
        <v>3.21</v>
      </c>
      <c r="S35" s="6" t="n">
        <v>0.75</v>
      </c>
      <c r="T35" s="4" t="n">
        <v>3</v>
      </c>
      <c r="U35" s="5" t="s">
        <v>259</v>
      </c>
      <c r="V35" s="4" t="s">
        <v>260</v>
      </c>
      <c r="W35" s="7" t="n">
        <v>102000</v>
      </c>
      <c r="X35" s="7" t="n">
        <v>327000</v>
      </c>
      <c r="Y35" s="6" t="n">
        <f aca="false">IF(OR(W35="",W35=0,X35=""),"",X35/W35)</f>
        <v>3.20588235294118</v>
      </c>
      <c r="Z35" s="4" t="n">
        <v>14</v>
      </c>
      <c r="AA35" s="8" t="s">
        <v>261</v>
      </c>
      <c r="AB35" s="9" t="s">
        <v>62</v>
      </c>
      <c r="AC35" s="10"/>
      <c r="AD35" s="4"/>
      <c r="AE35" s="11" t="n">
        <f aca="false">IF(AB35&lt;&gt;"Published",COUNTIF($AB$2:AB35,"&lt;&gt;Published"),"")</f>
        <v>34</v>
      </c>
    </row>
    <row r="36" customFormat="false" ht="39.55" hidden="false" customHeight="false" outlineLevel="0" collapsed="false">
      <c r="A36" s="4" t="n">
        <v>35</v>
      </c>
      <c r="B36" s="4" t="n">
        <f aca="false">ROUNDUP(A36/3,0)</f>
        <v>12</v>
      </c>
      <c r="C36" s="4" t="s">
        <v>198</v>
      </c>
      <c r="D36" s="4" t="s">
        <v>262</v>
      </c>
      <c r="E36" s="4" t="s">
        <v>64</v>
      </c>
      <c r="F36" s="5" t="s">
        <v>263</v>
      </c>
      <c r="G36" s="5" t="s">
        <v>264</v>
      </c>
      <c r="H36" s="4" t="s">
        <v>53</v>
      </c>
      <c r="I36" s="4" t="s">
        <v>127</v>
      </c>
      <c r="J36" s="4" t="s">
        <v>262</v>
      </c>
      <c r="K36" s="4" t="s">
        <v>56</v>
      </c>
      <c r="L36" s="4" t="s">
        <v>57</v>
      </c>
      <c r="M36" s="4" t="s">
        <v>67</v>
      </c>
      <c r="N36" s="4" t="n">
        <v>31</v>
      </c>
      <c r="O36" s="4" t="n">
        <v>15</v>
      </c>
      <c r="P36" s="4" t="n">
        <v>7</v>
      </c>
      <c r="Q36" s="4" t="n">
        <v>1</v>
      </c>
      <c r="R36" s="6" t="n">
        <v>6.48</v>
      </c>
      <c r="S36" s="6" t="n">
        <v>1.77</v>
      </c>
      <c r="T36" s="4" t="n">
        <v>6</v>
      </c>
      <c r="U36" s="5" t="s">
        <v>265</v>
      </c>
      <c r="V36" s="4" t="s">
        <v>129</v>
      </c>
      <c r="W36" s="7" t="n">
        <v>47500</v>
      </c>
      <c r="X36" s="7" t="n">
        <v>243000</v>
      </c>
      <c r="Y36" s="6" t="n">
        <f aca="false">IF(OR(W36="",W36=0,X36=""),"",X36/W36)</f>
        <v>5.11578947368421</v>
      </c>
      <c r="Z36" s="4" t="n">
        <v>18</v>
      </c>
      <c r="AA36" s="8" t="s">
        <v>266</v>
      </c>
      <c r="AB36" s="9" t="s">
        <v>62</v>
      </c>
      <c r="AC36" s="10"/>
      <c r="AD36" s="4"/>
      <c r="AE36" s="11" t="n">
        <f aca="false">IF(AB36&lt;&gt;"Published",COUNTIF($AB$2:AB36,"&lt;&gt;Published"),"")</f>
        <v>35</v>
      </c>
    </row>
    <row r="37" customFormat="false" ht="26.85" hidden="false" customHeight="false" outlineLevel="0" collapsed="false">
      <c r="A37" s="4" t="n">
        <v>36</v>
      </c>
      <c r="B37" s="4" t="n">
        <f aca="false">ROUNDUP(A37/3,0)</f>
        <v>12</v>
      </c>
      <c r="C37" s="4" t="s">
        <v>198</v>
      </c>
      <c r="D37" s="4" t="s">
        <v>267</v>
      </c>
      <c r="E37" s="4" t="s">
        <v>210</v>
      </c>
      <c r="F37" s="5" t="s">
        <v>268</v>
      </c>
      <c r="G37" s="5" t="s">
        <v>269</v>
      </c>
      <c r="H37" s="4" t="s">
        <v>53</v>
      </c>
      <c r="I37" s="4" t="s">
        <v>54</v>
      </c>
      <c r="J37" s="4" t="s">
        <v>247</v>
      </c>
      <c r="K37" s="4" t="s">
        <v>213</v>
      </c>
      <c r="L37" s="4" t="s">
        <v>115</v>
      </c>
      <c r="M37" s="4" t="s">
        <v>67</v>
      </c>
      <c r="N37" s="4" t="n">
        <v>17</v>
      </c>
      <c r="O37" s="4" t="n">
        <v>9</v>
      </c>
      <c r="P37" s="4" t="n">
        <v>3</v>
      </c>
      <c r="Q37" s="4" t="n">
        <v>0</v>
      </c>
      <c r="R37" s="6" t="n">
        <v>2.23</v>
      </c>
      <c r="S37" s="6" t="n">
        <v>0.74</v>
      </c>
      <c r="T37" s="4" t="n">
        <v>6</v>
      </c>
      <c r="U37" s="5" t="s">
        <v>270</v>
      </c>
      <c r="V37" s="4" t="s">
        <v>271</v>
      </c>
      <c r="W37" s="7" t="n">
        <v>99200</v>
      </c>
      <c r="X37" s="7" t="n">
        <v>199000</v>
      </c>
      <c r="Y37" s="6" t="n">
        <f aca="false">IF(OR(W37="",W37=0,X37=""),"",X37/W37)</f>
        <v>2.00604838709677</v>
      </c>
      <c r="Z37" s="4" t="n">
        <v>6</v>
      </c>
      <c r="AA37" s="8" t="s">
        <v>272</v>
      </c>
      <c r="AB37" s="9" t="s">
        <v>62</v>
      </c>
      <c r="AC37" s="10"/>
      <c r="AD37" s="4"/>
      <c r="AE37" s="11" t="n">
        <f aca="false">IF(AB37&lt;&gt;"Published",COUNTIF($AB$2:AB37,"&lt;&gt;Published"),"")</f>
        <v>36</v>
      </c>
    </row>
    <row r="38" customFormat="false" ht="26.85" hidden="false" customHeight="false" outlineLevel="0" collapsed="false">
      <c r="A38" s="4" t="n">
        <v>37</v>
      </c>
      <c r="B38" s="4" t="n">
        <f aca="false">ROUNDUP(A38/3,0)</f>
        <v>13</v>
      </c>
      <c r="C38" s="4" t="s">
        <v>198</v>
      </c>
      <c r="D38" s="4" t="s">
        <v>273</v>
      </c>
      <c r="E38" s="4" t="s">
        <v>218</v>
      </c>
      <c r="F38" s="5" t="s">
        <v>274</v>
      </c>
      <c r="G38" s="5" t="s">
        <v>275</v>
      </c>
      <c r="H38" s="4" t="s">
        <v>53</v>
      </c>
      <c r="I38" s="4" t="s">
        <v>127</v>
      </c>
      <c r="J38" s="4" t="s">
        <v>217</v>
      </c>
      <c r="K38" s="4" t="s">
        <v>94</v>
      </c>
      <c r="L38" s="4" t="s">
        <v>57</v>
      </c>
      <c r="M38" s="4" t="s">
        <v>58</v>
      </c>
      <c r="N38" s="4" t="n">
        <v>25</v>
      </c>
      <c r="O38" s="4" t="n">
        <v>11</v>
      </c>
      <c r="P38" s="4" t="n">
        <v>1</v>
      </c>
      <c r="Q38" s="4" t="n">
        <v>1</v>
      </c>
      <c r="R38" s="6" t="n">
        <v>23.72</v>
      </c>
      <c r="S38" s="6" t="n">
        <v>2.16</v>
      </c>
      <c r="T38" s="4" t="n">
        <v>11</v>
      </c>
      <c r="U38" s="5" t="s">
        <v>276</v>
      </c>
      <c r="V38" s="4" t="s">
        <v>277</v>
      </c>
      <c r="W38" s="7" t="n">
        <v>5480</v>
      </c>
      <c r="X38" s="7" t="n">
        <v>130000</v>
      </c>
      <c r="Y38" s="6" t="n">
        <f aca="false">IF(OR(W38="",W38=0,X38=""),"",X38/W38)</f>
        <v>23.7226277372263</v>
      </c>
      <c r="Z38" s="4" t="n">
        <v>11</v>
      </c>
      <c r="AA38" s="8" t="s">
        <v>278</v>
      </c>
      <c r="AB38" s="9" t="s">
        <v>62</v>
      </c>
      <c r="AC38" s="10"/>
      <c r="AD38" s="4"/>
      <c r="AE38" s="11" t="n">
        <f aca="false">IF(AB38&lt;&gt;"Published",COUNTIF($AB$2:AB38,"&lt;&gt;Published"),"")</f>
        <v>37</v>
      </c>
    </row>
    <row r="39" customFormat="false" ht="26.85" hidden="false" customHeight="false" outlineLevel="0" collapsed="false">
      <c r="A39" s="4" t="n">
        <v>38</v>
      </c>
      <c r="B39" s="4" t="n">
        <f aca="false">ROUNDUP(A39/3,0)</f>
        <v>13</v>
      </c>
      <c r="C39" s="4" t="s">
        <v>198</v>
      </c>
      <c r="D39" s="4" t="s">
        <v>279</v>
      </c>
      <c r="E39" s="4" t="s">
        <v>50</v>
      </c>
      <c r="F39" s="5" t="s">
        <v>280</v>
      </c>
      <c r="G39" s="5" t="s">
        <v>281</v>
      </c>
      <c r="H39" s="4" t="s">
        <v>74</v>
      </c>
      <c r="I39" s="4" t="s">
        <v>127</v>
      </c>
      <c r="J39" s="4" t="s">
        <v>235</v>
      </c>
      <c r="K39" s="4" t="s">
        <v>56</v>
      </c>
      <c r="L39" s="4" t="s">
        <v>57</v>
      </c>
      <c r="M39" s="4" t="s">
        <v>58</v>
      </c>
      <c r="N39" s="4" t="n">
        <v>196</v>
      </c>
      <c r="O39" s="4" t="n">
        <v>49</v>
      </c>
      <c r="P39" s="4" t="n">
        <v>25</v>
      </c>
      <c r="Q39" s="4" t="n">
        <v>2</v>
      </c>
      <c r="R39" s="6" t="n">
        <v>10.85</v>
      </c>
      <c r="S39" s="6" t="n">
        <v>1.95</v>
      </c>
      <c r="T39" s="4" t="n">
        <v>8</v>
      </c>
      <c r="U39" s="5" t="s">
        <v>282</v>
      </c>
      <c r="V39" s="4" t="s">
        <v>245</v>
      </c>
      <c r="W39" s="7" t="n">
        <v>5990</v>
      </c>
      <c r="X39" s="7" t="n">
        <v>65000</v>
      </c>
      <c r="Y39" s="6" t="n">
        <f aca="false">IF(OR(W39="",W39=0,X39=""),"",X39/W39)</f>
        <v>10.8514190317195</v>
      </c>
      <c r="Z39" s="4" t="n">
        <v>12</v>
      </c>
      <c r="AA39" s="8" t="s">
        <v>283</v>
      </c>
      <c r="AB39" s="9" t="s">
        <v>62</v>
      </c>
      <c r="AC39" s="10"/>
      <c r="AD39" s="4"/>
      <c r="AE39" s="11" t="n">
        <f aca="false">IF(AB39&lt;&gt;"Published",COUNTIF($AB$2:AB39,"&lt;&gt;Published"),"")</f>
        <v>38</v>
      </c>
    </row>
    <row r="40" customFormat="false" ht="39.55" hidden="false" customHeight="false" outlineLevel="0" collapsed="false">
      <c r="A40" s="4" t="n">
        <v>39</v>
      </c>
      <c r="B40" s="4" t="n">
        <f aca="false">ROUNDUP(A40/3,0)</f>
        <v>13</v>
      </c>
      <c r="C40" s="4" t="s">
        <v>198</v>
      </c>
      <c r="D40" s="4" t="s">
        <v>284</v>
      </c>
      <c r="E40" s="4" t="s">
        <v>64</v>
      </c>
      <c r="F40" s="5" t="s">
        <v>285</v>
      </c>
      <c r="G40" s="5" t="s">
        <v>286</v>
      </c>
      <c r="H40" s="4" t="s">
        <v>53</v>
      </c>
      <c r="I40" s="4" t="s">
        <v>127</v>
      </c>
      <c r="J40" s="4" t="s">
        <v>241</v>
      </c>
      <c r="K40" s="4" t="s">
        <v>114</v>
      </c>
      <c r="L40" s="4" t="s">
        <v>57</v>
      </c>
      <c r="M40" s="4" t="s">
        <v>58</v>
      </c>
      <c r="N40" s="4" t="n">
        <v>15</v>
      </c>
      <c r="O40" s="4" t="n">
        <v>12</v>
      </c>
      <c r="P40" s="4" t="n">
        <v>2</v>
      </c>
      <c r="Q40" s="4" t="n">
        <v>1</v>
      </c>
      <c r="R40" s="6" t="n">
        <v>24.92</v>
      </c>
      <c r="S40" s="6" t="n">
        <v>4.15</v>
      </c>
      <c r="T40" s="4" t="n">
        <v>9.5</v>
      </c>
      <c r="U40" s="5" t="s">
        <v>287</v>
      </c>
      <c r="V40" s="4" t="s">
        <v>288</v>
      </c>
      <c r="W40" s="7" t="n">
        <v>9030</v>
      </c>
      <c r="X40" s="7" t="n">
        <v>225000</v>
      </c>
      <c r="Y40" s="6" t="n">
        <f aca="false">IF(OR(W40="",W40=0,X40=""),"",X40/W40)</f>
        <v>24.9169435215947</v>
      </c>
      <c r="Z40" s="4" t="n">
        <v>6</v>
      </c>
      <c r="AA40" s="8" t="s">
        <v>289</v>
      </c>
      <c r="AB40" s="9" t="s">
        <v>62</v>
      </c>
      <c r="AC40" s="10"/>
      <c r="AD40" s="4"/>
      <c r="AE40" s="11" t="n">
        <f aca="false">IF(AB40&lt;&gt;"Published",COUNTIF($AB$2:AB40,"&lt;&gt;Published"),"")</f>
        <v>39</v>
      </c>
    </row>
    <row r="41" customFormat="false" ht="26.85" hidden="false" customHeight="false" outlineLevel="0" collapsed="false">
      <c r="A41" s="4" t="n">
        <v>40</v>
      </c>
      <c r="B41" s="4" t="n">
        <f aca="false">ROUNDUP(A41/3,0)</f>
        <v>14</v>
      </c>
      <c r="C41" s="4" t="s">
        <v>198</v>
      </c>
      <c r="D41" s="4" t="s">
        <v>290</v>
      </c>
      <c r="E41" s="4" t="s">
        <v>210</v>
      </c>
      <c r="F41" s="5" t="s">
        <v>291</v>
      </c>
      <c r="G41" s="5" t="s">
        <v>292</v>
      </c>
      <c r="H41" s="4" t="s">
        <v>53</v>
      </c>
      <c r="I41" s="4" t="s">
        <v>54</v>
      </c>
      <c r="J41" s="4" t="s">
        <v>247</v>
      </c>
      <c r="K41" s="4" t="s">
        <v>94</v>
      </c>
      <c r="L41" s="4" t="s">
        <v>115</v>
      </c>
      <c r="M41" s="4" t="s">
        <v>58</v>
      </c>
      <c r="N41" s="4" t="n">
        <v>18</v>
      </c>
      <c r="O41" s="4" t="n">
        <v>6</v>
      </c>
      <c r="P41" s="4" t="n">
        <v>3</v>
      </c>
      <c r="Q41" s="4" t="n">
        <v>0</v>
      </c>
      <c r="R41" s="6" t="n">
        <v>2.68</v>
      </c>
      <c r="S41" s="6" t="n">
        <v>0.54</v>
      </c>
      <c r="T41" s="4" t="n">
        <v>13</v>
      </c>
      <c r="U41" s="5" t="s">
        <v>293</v>
      </c>
      <c r="V41" s="4" t="s">
        <v>294</v>
      </c>
      <c r="W41" s="7" t="n">
        <v>55600</v>
      </c>
      <c r="X41" s="7" t="n">
        <v>149000</v>
      </c>
      <c r="Y41" s="6" t="n">
        <f aca="false">IF(OR(W41="",W41=0,X41=""),"",X41/W41)</f>
        <v>2.67985611510791</v>
      </c>
      <c r="Z41" s="4" t="n">
        <v>5</v>
      </c>
      <c r="AA41" s="8" t="s">
        <v>295</v>
      </c>
      <c r="AB41" s="9" t="s">
        <v>62</v>
      </c>
      <c r="AC41" s="10"/>
      <c r="AD41" s="4"/>
      <c r="AE41" s="11" t="n">
        <f aca="false">IF(AB41&lt;&gt;"Published",COUNTIF($AB$2:AB41,"&lt;&gt;Published"),"")</f>
        <v>40</v>
      </c>
    </row>
    <row r="42" customFormat="false" ht="39.55" hidden="false" customHeight="false" outlineLevel="0" collapsed="false">
      <c r="A42" s="4" t="n">
        <v>41</v>
      </c>
      <c r="B42" s="4" t="n">
        <f aca="false">ROUNDUP(A42/3,0)</f>
        <v>14</v>
      </c>
      <c r="C42" s="4" t="s">
        <v>198</v>
      </c>
      <c r="D42" s="4" t="s">
        <v>296</v>
      </c>
      <c r="E42" s="4" t="s">
        <v>218</v>
      </c>
      <c r="F42" s="5" t="s">
        <v>297</v>
      </c>
      <c r="G42" s="5" t="s">
        <v>298</v>
      </c>
      <c r="H42" s="4" t="s">
        <v>53</v>
      </c>
      <c r="I42" s="4" t="s">
        <v>127</v>
      </c>
      <c r="J42" s="4" t="s">
        <v>217</v>
      </c>
      <c r="K42" s="4" t="s">
        <v>94</v>
      </c>
      <c r="L42" s="4" t="s">
        <v>115</v>
      </c>
      <c r="M42" s="4" t="s">
        <v>67</v>
      </c>
      <c r="N42" s="4" t="n">
        <v>6</v>
      </c>
      <c r="O42" s="4" t="n">
        <v>4</v>
      </c>
      <c r="P42" s="4" t="n">
        <v>1</v>
      </c>
      <c r="Q42" s="4" t="n">
        <v>1</v>
      </c>
      <c r="R42" s="6" t="n">
        <v>5.71</v>
      </c>
      <c r="S42" s="6" t="n">
        <v>1.14</v>
      </c>
      <c r="T42" s="4" t="n">
        <v>5</v>
      </c>
      <c r="U42" s="5" t="s">
        <v>299</v>
      </c>
      <c r="V42" s="4" t="s">
        <v>300</v>
      </c>
      <c r="W42" s="7" t="n">
        <v>7880</v>
      </c>
      <c r="X42" s="7" t="n">
        <v>45000</v>
      </c>
      <c r="Y42" s="6" t="n">
        <f aca="false">IF(OR(W42="",W42=0,X42=""),"",X42/W42)</f>
        <v>5.71065989847716</v>
      </c>
      <c r="Z42" s="4" t="n">
        <v>5</v>
      </c>
      <c r="AA42" s="8" t="s">
        <v>301</v>
      </c>
      <c r="AB42" s="9" t="s">
        <v>62</v>
      </c>
      <c r="AC42" s="10"/>
      <c r="AD42" s="4"/>
      <c r="AE42" s="11" t="n">
        <f aca="false">IF(AB42&lt;&gt;"Published",COUNTIF($AB$2:AB42,"&lt;&gt;Published"),"")</f>
        <v>41</v>
      </c>
    </row>
    <row r="43" customFormat="false" ht="26.85" hidden="false" customHeight="false" outlineLevel="0" collapsed="false">
      <c r="A43" s="4" t="n">
        <v>42</v>
      </c>
      <c r="B43" s="4" t="n">
        <f aca="false">ROUNDUP(A43/3,0)</f>
        <v>14</v>
      </c>
      <c r="C43" s="4" t="s">
        <v>198</v>
      </c>
      <c r="D43" s="4" t="s">
        <v>302</v>
      </c>
      <c r="E43" s="4" t="s">
        <v>64</v>
      </c>
      <c r="F43" s="5" t="s">
        <v>303</v>
      </c>
      <c r="G43" s="5" t="s">
        <v>304</v>
      </c>
      <c r="H43" s="4" t="s">
        <v>228</v>
      </c>
      <c r="I43" s="4" t="s">
        <v>229</v>
      </c>
      <c r="J43" s="4" t="s">
        <v>305</v>
      </c>
      <c r="K43" s="4" t="s">
        <v>94</v>
      </c>
      <c r="L43" s="4" t="s">
        <v>57</v>
      </c>
      <c r="M43" s="4" t="s">
        <v>67</v>
      </c>
      <c r="N43" s="4" t="n">
        <v>9</v>
      </c>
      <c r="O43" s="4" t="n">
        <v>4</v>
      </c>
      <c r="P43" s="4" t="n">
        <v>7</v>
      </c>
      <c r="Q43" s="4" t="n">
        <v>3</v>
      </c>
      <c r="R43" s="6" t="n">
        <v>24.07</v>
      </c>
      <c r="S43" s="6" t="n">
        <v>24.07</v>
      </c>
      <c r="T43" s="4" t="n">
        <v>4</v>
      </c>
      <c r="U43" s="5" t="s">
        <v>306</v>
      </c>
      <c r="V43" s="4" t="s">
        <v>307</v>
      </c>
      <c r="W43" s="7" t="n">
        <v>2410</v>
      </c>
      <c r="X43" s="7" t="n">
        <v>58000</v>
      </c>
      <c r="Y43" s="6" t="n">
        <f aca="false">IF(OR(W43="",W43=0,X43=""),"",X43/W43)</f>
        <v>24.0663900414938</v>
      </c>
      <c r="Z43" s="4" t="n">
        <v>1</v>
      </c>
      <c r="AA43" s="8" t="s">
        <v>308</v>
      </c>
      <c r="AB43" s="9" t="s">
        <v>62</v>
      </c>
      <c r="AC43" s="10"/>
      <c r="AD43" s="4"/>
      <c r="AE43" s="11" t="n">
        <f aca="false">IF(AB43&lt;&gt;"Published",COUNTIF($AB$2:AB43,"&lt;&gt;Published"),"")</f>
        <v>42</v>
      </c>
    </row>
    <row r="44" customFormat="false" ht="39.55" hidden="false" customHeight="false" outlineLevel="0" collapsed="false">
      <c r="A44" s="4" t="n">
        <v>43</v>
      </c>
      <c r="B44" s="4" t="n">
        <f aca="false">ROUNDUP(A44/3,0)</f>
        <v>15</v>
      </c>
      <c r="C44" s="4" t="s">
        <v>198</v>
      </c>
      <c r="D44" s="4" t="s">
        <v>309</v>
      </c>
      <c r="E44" s="4" t="s">
        <v>50</v>
      </c>
      <c r="F44" s="5" t="s">
        <v>310</v>
      </c>
      <c r="G44" s="5" t="s">
        <v>311</v>
      </c>
      <c r="H44" s="4" t="s">
        <v>74</v>
      </c>
      <c r="I44" s="4" t="s">
        <v>87</v>
      </c>
      <c r="J44" s="4" t="s">
        <v>279</v>
      </c>
      <c r="K44" s="4" t="s">
        <v>56</v>
      </c>
      <c r="L44" s="4" t="s">
        <v>115</v>
      </c>
      <c r="M44" s="4" t="s">
        <v>58</v>
      </c>
      <c r="N44" s="4" t="n">
        <v>26</v>
      </c>
      <c r="O44" s="4" t="n">
        <v>13</v>
      </c>
      <c r="P44" s="4" t="n">
        <v>4</v>
      </c>
      <c r="Q44" s="4" t="n">
        <v>0</v>
      </c>
      <c r="R44" s="6" t="n">
        <v>10.84</v>
      </c>
      <c r="S44" s="6" t="n">
        <v>0.77</v>
      </c>
      <c r="T44" s="4" t="n">
        <v>9</v>
      </c>
      <c r="U44" s="5" t="s">
        <v>312</v>
      </c>
      <c r="V44" s="4" t="s">
        <v>76</v>
      </c>
      <c r="W44" s="7" t="n">
        <v>38300</v>
      </c>
      <c r="X44" s="7" t="n">
        <v>415000</v>
      </c>
      <c r="Y44" s="6" t="n">
        <f aca="false">IF(OR(W44="",W44=0,X44=""),"",X44/W44)</f>
        <v>10.8355091383812</v>
      </c>
      <c r="Z44" s="4" t="n">
        <v>14</v>
      </c>
      <c r="AA44" s="8" t="s">
        <v>313</v>
      </c>
      <c r="AB44" s="9" t="s">
        <v>62</v>
      </c>
      <c r="AC44" s="10"/>
      <c r="AD44" s="4"/>
      <c r="AE44" s="11" t="n">
        <f aca="false">IF(AB44&lt;&gt;"Published",COUNTIF($AB$2:AB44,"&lt;&gt;Published"),"")</f>
        <v>43</v>
      </c>
    </row>
    <row r="45" customFormat="false" ht="39.55" hidden="false" customHeight="false" outlineLevel="0" collapsed="false">
      <c r="A45" s="4" t="n">
        <v>44</v>
      </c>
      <c r="B45" s="4" t="n">
        <f aca="false">ROUNDUP(A45/3,0)</f>
        <v>15</v>
      </c>
      <c r="C45" s="4" t="s">
        <v>198</v>
      </c>
      <c r="D45" s="4" t="s">
        <v>314</v>
      </c>
      <c r="E45" s="4" t="s">
        <v>64</v>
      </c>
      <c r="F45" s="5" t="s">
        <v>315</v>
      </c>
      <c r="G45" s="5" t="s">
        <v>316</v>
      </c>
      <c r="H45" s="4" t="s">
        <v>53</v>
      </c>
      <c r="I45" s="4" t="s">
        <v>127</v>
      </c>
      <c r="J45" s="4" t="s">
        <v>241</v>
      </c>
      <c r="K45" s="4" t="s">
        <v>56</v>
      </c>
      <c r="L45" s="4" t="s">
        <v>57</v>
      </c>
      <c r="M45" s="4" t="s">
        <v>67</v>
      </c>
      <c r="N45" s="4" t="n">
        <v>93</v>
      </c>
      <c r="O45" s="4" t="n">
        <v>33</v>
      </c>
      <c r="P45" s="4" t="n">
        <v>12</v>
      </c>
      <c r="Q45" s="4" t="n">
        <v>1</v>
      </c>
      <c r="R45" s="6" t="n">
        <v>22.92</v>
      </c>
      <c r="S45" s="6" t="n">
        <v>3.82</v>
      </c>
      <c r="T45" s="4" t="n">
        <v>6</v>
      </c>
      <c r="U45" s="5" t="s">
        <v>317</v>
      </c>
      <c r="V45" s="4" t="s">
        <v>288</v>
      </c>
      <c r="W45" s="7" t="n">
        <v>9030</v>
      </c>
      <c r="X45" s="7" t="n">
        <v>207000</v>
      </c>
      <c r="Y45" s="6" t="n">
        <f aca="false">IF(OR(W45="",W45=0,X45=""),"",X45/W45)</f>
        <v>22.9235880398671</v>
      </c>
      <c r="Z45" s="4" t="n">
        <v>6</v>
      </c>
      <c r="AA45" s="8" t="s">
        <v>318</v>
      </c>
      <c r="AB45" s="9" t="s">
        <v>62</v>
      </c>
      <c r="AC45" s="10"/>
      <c r="AD45" s="4"/>
      <c r="AE45" s="11" t="n">
        <f aca="false">IF(AB45&lt;&gt;"Published",COUNTIF($AB$2:AB45,"&lt;&gt;Published"),"")</f>
        <v>44</v>
      </c>
    </row>
    <row r="46" customFormat="false" ht="26.85" hidden="false" customHeight="false" outlineLevel="0" collapsed="false">
      <c r="A46" s="4" t="n">
        <v>45</v>
      </c>
      <c r="B46" s="4" t="n">
        <f aca="false">ROUNDUP(A46/3,0)</f>
        <v>15</v>
      </c>
      <c r="C46" s="4" t="s">
        <v>198</v>
      </c>
      <c r="D46" s="4" t="s">
        <v>319</v>
      </c>
      <c r="E46" s="4" t="s">
        <v>210</v>
      </c>
      <c r="F46" s="5" t="s">
        <v>320</v>
      </c>
      <c r="G46" s="5" t="s">
        <v>321</v>
      </c>
      <c r="H46" s="4" t="s">
        <v>53</v>
      </c>
      <c r="I46" s="4" t="s">
        <v>127</v>
      </c>
      <c r="J46" s="4" t="s">
        <v>290</v>
      </c>
      <c r="K46" s="4" t="s">
        <v>94</v>
      </c>
      <c r="L46" s="4" t="s">
        <v>115</v>
      </c>
      <c r="M46" s="4" t="s">
        <v>58</v>
      </c>
      <c r="N46" s="4" t="n">
        <v>2</v>
      </c>
      <c r="O46" s="4" t="n">
        <v>2</v>
      </c>
      <c r="P46" s="4" t="n">
        <v>1</v>
      </c>
      <c r="Q46" s="4" t="n">
        <v>0</v>
      </c>
      <c r="R46" s="6" t="n">
        <v>5.21</v>
      </c>
      <c r="S46" s="6" t="n">
        <v>0.4</v>
      </c>
      <c r="T46" s="4" t="n">
        <v>13</v>
      </c>
      <c r="U46" s="5" t="s">
        <v>322</v>
      </c>
      <c r="V46" s="4" t="s">
        <v>215</v>
      </c>
      <c r="W46" s="7" t="n">
        <v>34000</v>
      </c>
      <c r="X46" s="7" t="n">
        <v>177000</v>
      </c>
      <c r="Y46" s="6" t="n">
        <f aca="false">IF(OR(W46="",W46=0,X46=""),"",X46/W46)</f>
        <v>5.20588235294118</v>
      </c>
      <c r="Z46" s="4" t="n">
        <v>13</v>
      </c>
      <c r="AA46" s="8" t="s">
        <v>323</v>
      </c>
      <c r="AB46" s="9" t="s">
        <v>62</v>
      </c>
      <c r="AC46" s="10"/>
      <c r="AD46" s="4"/>
      <c r="AE46" s="11" t="n">
        <f aca="false">IF(AB46&lt;&gt;"Published",COUNTIF($AB$2:AB46,"&lt;&gt;Published"),"")</f>
        <v>45</v>
      </c>
    </row>
    <row r="47" customFormat="false" ht="39.55" hidden="false" customHeight="false" outlineLevel="0" collapsed="false">
      <c r="A47" s="4" t="n">
        <v>46</v>
      </c>
      <c r="B47" s="4" t="n">
        <f aca="false">ROUNDUP(A47/3,0)</f>
        <v>16</v>
      </c>
      <c r="C47" s="4" t="s">
        <v>198</v>
      </c>
      <c r="D47" s="4" t="s">
        <v>324</v>
      </c>
      <c r="E47" s="4" t="s">
        <v>218</v>
      </c>
      <c r="F47" s="5" t="s">
        <v>325</v>
      </c>
      <c r="G47" s="5" t="s">
        <v>326</v>
      </c>
      <c r="H47" s="4" t="s">
        <v>53</v>
      </c>
      <c r="I47" s="4" t="s">
        <v>54</v>
      </c>
      <c r="J47" s="4" t="s">
        <v>296</v>
      </c>
      <c r="K47" s="4" t="s">
        <v>94</v>
      </c>
      <c r="L47" s="4" t="s">
        <v>95</v>
      </c>
      <c r="M47" s="4" t="s">
        <v>96</v>
      </c>
      <c r="N47" s="4" t="n">
        <v>2</v>
      </c>
      <c r="O47" s="4" t="n">
        <v>1</v>
      </c>
      <c r="P47" s="4" t="n">
        <v>0</v>
      </c>
      <c r="Q47" s="4" t="n">
        <v>0</v>
      </c>
      <c r="R47" s="6" t="n">
        <v>0.11</v>
      </c>
      <c r="S47" s="6" t="n">
        <v>0.11</v>
      </c>
      <c r="T47" s="4"/>
      <c r="U47" s="5" t="s">
        <v>327</v>
      </c>
      <c r="V47" s="4" t="s">
        <v>328</v>
      </c>
      <c r="W47" s="7" t="n">
        <v>92800</v>
      </c>
      <c r="X47" s="7" t="n">
        <v>10000</v>
      </c>
      <c r="Y47" s="6" t="n">
        <f aca="false">IF(OR(W47="",W47=0,X47=""),"",X47/W47)</f>
        <v>0.107758620689655</v>
      </c>
      <c r="Z47" s="4" t="n">
        <v>1</v>
      </c>
      <c r="AA47" s="8" t="s">
        <v>329</v>
      </c>
      <c r="AB47" s="9" t="s">
        <v>62</v>
      </c>
      <c r="AC47" s="10"/>
      <c r="AD47" s="4"/>
      <c r="AE47" s="11" t="n">
        <f aca="false">IF(AB47&lt;&gt;"Published",COUNTIF($AB$2:AB47,"&lt;&gt;Published"),"")</f>
        <v>46</v>
      </c>
    </row>
    <row r="48" customFormat="false" ht="39.55" hidden="false" customHeight="false" outlineLevel="0" collapsed="false">
      <c r="A48" s="4" t="n">
        <v>47</v>
      </c>
      <c r="B48" s="4" t="n">
        <f aca="false">ROUNDUP(A48/3,0)</f>
        <v>16</v>
      </c>
      <c r="C48" s="4" t="s">
        <v>198</v>
      </c>
      <c r="D48" s="4" t="s">
        <v>330</v>
      </c>
      <c r="E48" s="4" t="s">
        <v>50</v>
      </c>
      <c r="F48" s="5" t="s">
        <v>331</v>
      </c>
      <c r="G48" s="5" t="s">
        <v>332</v>
      </c>
      <c r="H48" s="4" t="s">
        <v>53</v>
      </c>
      <c r="I48" s="4" t="s">
        <v>54</v>
      </c>
      <c r="J48" s="4" t="s">
        <v>279</v>
      </c>
      <c r="K48" s="4" t="s">
        <v>114</v>
      </c>
      <c r="L48" s="4" t="s">
        <v>115</v>
      </c>
      <c r="M48" s="4" t="s">
        <v>58</v>
      </c>
      <c r="N48" s="4" t="n">
        <v>42</v>
      </c>
      <c r="O48" s="4" t="n">
        <v>18</v>
      </c>
      <c r="P48" s="4" t="n">
        <v>4</v>
      </c>
      <c r="Q48" s="4" t="n">
        <v>0</v>
      </c>
      <c r="R48" s="6" t="n">
        <v>7.35</v>
      </c>
      <c r="S48" s="6" t="n">
        <v>0.61</v>
      </c>
      <c r="T48" s="4" t="n">
        <v>13</v>
      </c>
      <c r="U48" s="5" t="s">
        <v>333</v>
      </c>
      <c r="V48" s="4" t="s">
        <v>245</v>
      </c>
      <c r="W48" s="7" t="n">
        <v>5990</v>
      </c>
      <c r="X48" s="7" t="n">
        <v>44000</v>
      </c>
      <c r="Y48" s="6" t="n">
        <f aca="false">IF(OR(W48="",W48=0,X48=""),"",X48/W48)</f>
        <v>7.34557595993322</v>
      </c>
      <c r="Z48" s="4" t="n">
        <v>12</v>
      </c>
      <c r="AA48" s="8" t="s">
        <v>334</v>
      </c>
      <c r="AB48" s="9" t="s">
        <v>62</v>
      </c>
      <c r="AC48" s="10"/>
      <c r="AD48" s="4"/>
      <c r="AE48" s="11" t="n">
        <f aca="false">IF(AB48&lt;&gt;"Published",COUNTIF($AB$2:AB48,"&lt;&gt;Published"),"")</f>
        <v>47</v>
      </c>
    </row>
    <row r="49" customFormat="false" ht="39.55" hidden="false" customHeight="false" outlineLevel="0" collapsed="false">
      <c r="A49" s="4" t="n">
        <v>48</v>
      </c>
      <c r="B49" s="4" t="n">
        <f aca="false">ROUNDUP(A49/3,0)</f>
        <v>16</v>
      </c>
      <c r="C49" s="4" t="s">
        <v>198</v>
      </c>
      <c r="D49" s="4" t="s">
        <v>335</v>
      </c>
      <c r="E49" s="4" t="s">
        <v>64</v>
      </c>
      <c r="F49" s="5" t="s">
        <v>336</v>
      </c>
      <c r="G49" s="5" t="s">
        <v>337</v>
      </c>
      <c r="H49" s="4" t="s">
        <v>53</v>
      </c>
      <c r="I49" s="4" t="s">
        <v>127</v>
      </c>
      <c r="J49" s="4" t="s">
        <v>63</v>
      </c>
      <c r="K49" s="4" t="s">
        <v>114</v>
      </c>
      <c r="L49" s="4" t="s">
        <v>115</v>
      </c>
      <c r="M49" s="4" t="s">
        <v>58</v>
      </c>
      <c r="N49" s="4" t="n">
        <v>116</v>
      </c>
      <c r="O49" s="4" t="n">
        <v>28</v>
      </c>
      <c r="P49" s="4" t="n">
        <v>11</v>
      </c>
      <c r="Q49" s="4" t="n">
        <v>0</v>
      </c>
      <c r="R49" s="6" t="n">
        <v>3.03</v>
      </c>
      <c r="S49" s="6" t="n">
        <v>0.84</v>
      </c>
      <c r="T49" s="4" t="n">
        <v>8</v>
      </c>
      <c r="U49" s="5" t="s">
        <v>338</v>
      </c>
      <c r="V49" s="4" t="s">
        <v>129</v>
      </c>
      <c r="W49" s="7" t="n">
        <v>47500</v>
      </c>
      <c r="X49" s="7" t="n">
        <v>144000</v>
      </c>
      <c r="Y49" s="6" t="n">
        <f aca="false">IF(OR(W49="",W49=0,X49=""),"",X49/W49)</f>
        <v>3.03157894736842</v>
      </c>
      <c r="Z49" s="4" t="n">
        <v>18</v>
      </c>
      <c r="AA49" s="8" t="s">
        <v>339</v>
      </c>
      <c r="AB49" s="9" t="s">
        <v>62</v>
      </c>
      <c r="AC49" s="10"/>
      <c r="AD49" s="4"/>
      <c r="AE49" s="11" t="n">
        <f aca="false">IF(AB49&lt;&gt;"Published",COUNTIF($AB$2:AB49,"&lt;&gt;Published"),"")</f>
        <v>48</v>
      </c>
    </row>
    <row r="50" customFormat="false" ht="26.85" hidden="false" customHeight="false" outlineLevel="0" collapsed="false">
      <c r="A50" s="4" t="n">
        <v>49</v>
      </c>
      <c r="B50" s="4" t="n">
        <f aca="false">ROUNDUP(A50/3,0)</f>
        <v>17</v>
      </c>
      <c r="C50" s="4" t="s">
        <v>340</v>
      </c>
      <c r="D50" s="4" t="s">
        <v>341</v>
      </c>
      <c r="E50" s="4" t="s">
        <v>210</v>
      </c>
      <c r="F50" s="5" t="s">
        <v>342</v>
      </c>
      <c r="G50" s="5" t="s">
        <v>343</v>
      </c>
      <c r="H50" s="4" t="s">
        <v>74</v>
      </c>
      <c r="I50" s="4" t="s">
        <v>127</v>
      </c>
      <c r="J50" s="4" t="s">
        <v>247</v>
      </c>
      <c r="K50" s="4" t="s">
        <v>94</v>
      </c>
      <c r="L50" s="4" t="s">
        <v>115</v>
      </c>
      <c r="M50" s="4" t="s">
        <v>58</v>
      </c>
      <c r="N50" s="4" t="n">
        <v>15</v>
      </c>
      <c r="O50" s="4" t="n">
        <v>4</v>
      </c>
      <c r="P50" s="4" t="n">
        <v>6</v>
      </c>
      <c r="Q50" s="4" t="n">
        <v>0</v>
      </c>
      <c r="R50" s="6" t="n">
        <v>3.62</v>
      </c>
      <c r="S50" s="6" t="n">
        <v>0.9</v>
      </c>
      <c r="T50" s="4" t="n">
        <v>13</v>
      </c>
      <c r="U50" s="5" t="s">
        <v>344</v>
      </c>
      <c r="V50" s="4" t="s">
        <v>294</v>
      </c>
      <c r="W50" s="7" t="n">
        <v>55600</v>
      </c>
      <c r="X50" s="7" t="n">
        <v>201000</v>
      </c>
      <c r="Y50" s="6" t="n">
        <f aca="false">IF(OR(W50="",W50=0,X50=""),"",X50/W50)</f>
        <v>3.61510791366907</v>
      </c>
      <c r="Z50" s="4" t="n">
        <v>4</v>
      </c>
      <c r="AA50" s="8" t="s">
        <v>345</v>
      </c>
      <c r="AB50" s="9" t="s">
        <v>62</v>
      </c>
      <c r="AC50" s="10"/>
      <c r="AD50" s="4"/>
      <c r="AE50" s="11" t="n">
        <f aca="false">IF(AB50&lt;&gt;"Published",COUNTIF($AB$2:AB50,"&lt;&gt;Published"),"")</f>
        <v>49</v>
      </c>
    </row>
    <row r="51" customFormat="false" ht="39.55" hidden="false" customHeight="false" outlineLevel="0" collapsed="false">
      <c r="A51" s="4" t="n">
        <v>50</v>
      </c>
      <c r="B51" s="4" t="n">
        <f aca="false">ROUNDUP(A51/3,0)</f>
        <v>17</v>
      </c>
      <c r="C51" s="4" t="s">
        <v>340</v>
      </c>
      <c r="D51" s="4" t="s">
        <v>346</v>
      </c>
      <c r="E51" s="4" t="s">
        <v>218</v>
      </c>
      <c r="F51" s="5" t="s">
        <v>347</v>
      </c>
      <c r="G51" s="5" t="s">
        <v>348</v>
      </c>
      <c r="H51" s="4" t="s">
        <v>53</v>
      </c>
      <c r="I51" s="4" t="s">
        <v>54</v>
      </c>
      <c r="J51" s="4" t="s">
        <v>273</v>
      </c>
      <c r="K51" s="4" t="s">
        <v>94</v>
      </c>
      <c r="L51" s="4" t="s">
        <v>115</v>
      </c>
      <c r="M51" s="4" t="s">
        <v>67</v>
      </c>
      <c r="N51" s="4" t="n">
        <v>3</v>
      </c>
      <c r="O51" s="4" t="n">
        <v>3</v>
      </c>
      <c r="P51" s="4" t="n">
        <v>1</v>
      </c>
      <c r="Q51" s="4" t="n">
        <v>0</v>
      </c>
      <c r="R51" s="6" t="n">
        <v>2.54</v>
      </c>
      <c r="S51" s="6" t="n">
        <v>0.51</v>
      </c>
      <c r="T51" s="4" t="n">
        <v>5</v>
      </c>
      <c r="U51" s="5" t="s">
        <v>349</v>
      </c>
      <c r="V51" s="4" t="s">
        <v>300</v>
      </c>
      <c r="W51" s="7" t="n">
        <v>7880</v>
      </c>
      <c r="X51" s="7" t="n">
        <v>20000</v>
      </c>
      <c r="Y51" s="6" t="n">
        <f aca="false">IF(OR(W51="",W51=0,X51=""),"",X51/W51)</f>
        <v>2.53807106598985</v>
      </c>
      <c r="Z51" s="4" t="n">
        <v>5</v>
      </c>
      <c r="AA51" s="8" t="s">
        <v>350</v>
      </c>
      <c r="AB51" s="9" t="s">
        <v>62</v>
      </c>
      <c r="AC51" s="10"/>
      <c r="AD51" s="4"/>
      <c r="AE51" s="11" t="n">
        <f aca="false">IF(AB51&lt;&gt;"Published",COUNTIF($AB$2:AB51,"&lt;&gt;Published"),"")</f>
        <v>50</v>
      </c>
    </row>
    <row r="52" customFormat="false" ht="26.85" hidden="false" customHeight="false" outlineLevel="0" collapsed="false">
      <c r="A52" s="4" t="n">
        <v>51</v>
      </c>
      <c r="B52" s="4" t="n">
        <f aca="false">ROUNDUP(A52/3,0)</f>
        <v>17</v>
      </c>
      <c r="C52" s="4" t="s">
        <v>340</v>
      </c>
      <c r="D52" s="4" t="s">
        <v>351</v>
      </c>
      <c r="E52" s="4" t="s">
        <v>218</v>
      </c>
      <c r="F52" s="5" t="s">
        <v>352</v>
      </c>
      <c r="G52" s="5" t="s">
        <v>353</v>
      </c>
      <c r="H52" s="4" t="s">
        <v>53</v>
      </c>
      <c r="I52" s="4" t="s">
        <v>54</v>
      </c>
      <c r="J52" s="4" t="s">
        <v>296</v>
      </c>
      <c r="K52" s="4" t="s">
        <v>94</v>
      </c>
      <c r="L52" s="4" t="s">
        <v>115</v>
      </c>
      <c r="M52" s="4" t="s">
        <v>58</v>
      </c>
      <c r="N52" s="4" t="n">
        <v>11</v>
      </c>
      <c r="O52" s="4" t="n">
        <v>4</v>
      </c>
      <c r="P52" s="4" t="n">
        <v>4</v>
      </c>
      <c r="Q52" s="4" t="n">
        <v>0</v>
      </c>
      <c r="R52" s="6" t="n">
        <v>4.2</v>
      </c>
      <c r="S52" s="6" t="n">
        <v>0.32</v>
      </c>
      <c r="T52" s="4" t="n">
        <v>13</v>
      </c>
      <c r="U52" s="5" t="s">
        <v>354</v>
      </c>
      <c r="V52" s="4" t="s">
        <v>60</v>
      </c>
      <c r="W52" s="7" t="n">
        <v>36200</v>
      </c>
      <c r="X52" s="7" t="n">
        <v>152000</v>
      </c>
      <c r="Y52" s="6" t="n">
        <f aca="false">IF(OR(W52="",W52=0,X52=""),"",X52/W52)</f>
        <v>4.19889502762431</v>
      </c>
      <c r="Z52" s="4" t="n">
        <v>13</v>
      </c>
      <c r="AA52" s="8" t="s">
        <v>355</v>
      </c>
      <c r="AB52" s="9" t="s">
        <v>62</v>
      </c>
      <c r="AC52" s="10"/>
      <c r="AD52" s="4"/>
      <c r="AE52" s="11" t="n">
        <f aca="false">IF(AB52&lt;&gt;"Published",COUNTIF($AB$2:AB52,"&lt;&gt;Published"),"")</f>
        <v>51</v>
      </c>
    </row>
    <row r="53" customFormat="false" ht="26.85" hidden="false" customHeight="false" outlineLevel="0" collapsed="false">
      <c r="A53" s="4" t="n">
        <v>52</v>
      </c>
      <c r="B53" s="4" t="n">
        <f aca="false">ROUNDUP(A53/3,0)</f>
        <v>18</v>
      </c>
      <c r="C53" s="4" t="s">
        <v>340</v>
      </c>
      <c r="D53" s="4" t="s">
        <v>356</v>
      </c>
      <c r="E53" s="4" t="s">
        <v>210</v>
      </c>
      <c r="F53" s="5" t="s">
        <v>357</v>
      </c>
      <c r="G53" s="5" t="s">
        <v>358</v>
      </c>
      <c r="H53" s="4" t="s">
        <v>53</v>
      </c>
      <c r="I53" s="4" t="s">
        <v>127</v>
      </c>
      <c r="J53" s="4" t="s">
        <v>267</v>
      </c>
      <c r="K53" s="4" t="s">
        <v>94</v>
      </c>
      <c r="L53" s="4" t="s">
        <v>95</v>
      </c>
      <c r="M53" s="4" t="s">
        <v>96</v>
      </c>
      <c r="N53" s="4" t="n">
        <v>4</v>
      </c>
      <c r="O53" s="4" t="n">
        <v>4</v>
      </c>
      <c r="P53" s="4" t="n">
        <v>0</v>
      </c>
      <c r="Q53" s="4" t="n">
        <v>0</v>
      </c>
      <c r="R53" s="6" t="n">
        <v>0.86</v>
      </c>
      <c r="S53" s="6" t="n">
        <v>0.22</v>
      </c>
      <c r="T53" s="4"/>
      <c r="U53" s="5" t="s">
        <v>359</v>
      </c>
      <c r="V53" s="4" t="s">
        <v>294</v>
      </c>
      <c r="W53" s="7" t="n">
        <v>55600</v>
      </c>
      <c r="X53" s="7" t="n">
        <v>48000</v>
      </c>
      <c r="Y53" s="6" t="n">
        <f aca="false">IF(OR(W53="",W53=0,X53=""),"",X53/W53)</f>
        <v>0.863309352517986</v>
      </c>
      <c r="Z53" s="4" t="n">
        <v>4</v>
      </c>
      <c r="AA53" s="8" t="s">
        <v>360</v>
      </c>
      <c r="AB53" s="9" t="s">
        <v>62</v>
      </c>
      <c r="AC53" s="10"/>
      <c r="AD53" s="4"/>
      <c r="AE53" s="11" t="n">
        <f aca="false">IF(AB53&lt;&gt;"Published",COUNTIF($AB$2:AB53,"&lt;&gt;Published"),"")</f>
        <v>52</v>
      </c>
    </row>
    <row r="54" customFormat="false" ht="39.55" hidden="false" customHeight="false" outlineLevel="0" collapsed="false">
      <c r="A54" s="4" t="n">
        <v>53</v>
      </c>
      <c r="B54" s="4" t="n">
        <f aca="false">ROUNDUP(A54/3,0)</f>
        <v>18</v>
      </c>
      <c r="C54" s="4" t="s">
        <v>340</v>
      </c>
      <c r="D54" s="4" t="s">
        <v>361</v>
      </c>
      <c r="E54" s="4" t="s">
        <v>50</v>
      </c>
      <c r="F54" s="5" t="s">
        <v>362</v>
      </c>
      <c r="G54" s="5" t="s">
        <v>363</v>
      </c>
      <c r="H54" s="4" t="s">
        <v>74</v>
      </c>
      <c r="I54" s="4" t="s">
        <v>127</v>
      </c>
      <c r="J54" s="4" t="s">
        <v>364</v>
      </c>
      <c r="K54" s="4" t="s">
        <v>94</v>
      </c>
      <c r="L54" s="4" t="s">
        <v>115</v>
      </c>
      <c r="M54" s="4" t="s">
        <v>58</v>
      </c>
      <c r="N54" s="4" t="n">
        <v>16</v>
      </c>
      <c r="O54" s="4" t="n">
        <v>9</v>
      </c>
      <c r="P54" s="4" t="n">
        <v>4</v>
      </c>
      <c r="Q54" s="4" t="n">
        <v>1</v>
      </c>
      <c r="R54" s="6" t="n">
        <v>8.25</v>
      </c>
      <c r="S54" s="6" t="n">
        <v>1.43</v>
      </c>
      <c r="T54" s="4" t="n">
        <v>11</v>
      </c>
      <c r="U54" s="5" t="s">
        <v>365</v>
      </c>
      <c r="V54" s="4" t="s">
        <v>82</v>
      </c>
      <c r="W54" s="7" t="n">
        <v>82800</v>
      </c>
      <c r="X54" s="7" t="n">
        <v>683000</v>
      </c>
      <c r="Y54" s="6" t="n">
        <f aca="false">IF(OR(W54="",W54=0,X54=""),"",X54/W54)</f>
        <v>8.2487922705314</v>
      </c>
      <c r="Z54" s="4" t="n">
        <v>13</v>
      </c>
      <c r="AA54" s="8" t="s">
        <v>366</v>
      </c>
      <c r="AB54" s="9" t="s">
        <v>62</v>
      </c>
      <c r="AC54" s="10"/>
      <c r="AD54" s="4"/>
      <c r="AE54" s="11" t="n">
        <f aca="false">IF(AB54&lt;&gt;"Published",COUNTIF($AB$2:AB54,"&lt;&gt;Published"),"")</f>
        <v>53</v>
      </c>
    </row>
    <row r="55" customFormat="false" ht="39.55" hidden="false" customHeight="false" outlineLevel="0" collapsed="false">
      <c r="A55" s="4" t="n">
        <v>54</v>
      </c>
      <c r="B55" s="4" t="n">
        <f aca="false">ROUNDUP(A55/3,0)</f>
        <v>18</v>
      </c>
      <c r="C55" s="4" t="s">
        <v>340</v>
      </c>
      <c r="D55" s="4" t="s">
        <v>367</v>
      </c>
      <c r="E55" s="4" t="s">
        <v>64</v>
      </c>
      <c r="F55" s="5" t="s">
        <v>368</v>
      </c>
      <c r="G55" s="5" t="s">
        <v>369</v>
      </c>
      <c r="H55" s="4" t="s">
        <v>53</v>
      </c>
      <c r="I55" s="4" t="s">
        <v>107</v>
      </c>
      <c r="J55" s="4" t="s">
        <v>370</v>
      </c>
      <c r="K55" s="4" t="s">
        <v>94</v>
      </c>
      <c r="L55" s="4" t="s">
        <v>115</v>
      </c>
      <c r="M55" s="4" t="s">
        <v>231</v>
      </c>
      <c r="N55" s="4" t="n">
        <v>7</v>
      </c>
      <c r="O55" s="4" t="n">
        <v>6</v>
      </c>
      <c r="P55" s="4" t="n">
        <v>2</v>
      </c>
      <c r="Q55" s="4" t="n">
        <v>1</v>
      </c>
      <c r="R55" s="6" t="n">
        <v>3.07</v>
      </c>
      <c r="S55" s="6" t="n">
        <v>1.54</v>
      </c>
      <c r="T55" s="4" t="n">
        <v>3.5</v>
      </c>
      <c r="U55" s="5" t="s">
        <v>371</v>
      </c>
      <c r="V55" s="4" t="s">
        <v>271</v>
      </c>
      <c r="W55" s="7" t="n">
        <v>99200</v>
      </c>
      <c r="X55" s="7" t="n">
        <v>167000</v>
      </c>
      <c r="Y55" s="6" t="n">
        <f aca="false">IF(OR(W55="",W55=0,X55=""),"",X55/W55)</f>
        <v>1.68346774193548</v>
      </c>
      <c r="Z55" s="4" t="n">
        <v>5</v>
      </c>
      <c r="AA55" s="8" t="s">
        <v>372</v>
      </c>
      <c r="AB55" s="9" t="s">
        <v>62</v>
      </c>
      <c r="AC55" s="10"/>
      <c r="AD55" s="4"/>
      <c r="AE55" s="11" t="n">
        <f aca="false">IF(AB55&lt;&gt;"Published",COUNTIF($AB$2:AB55,"&lt;&gt;Published"),"")</f>
        <v>54</v>
      </c>
    </row>
    <row r="56" customFormat="false" ht="26.85" hidden="false" customHeight="false" outlineLevel="0" collapsed="false">
      <c r="A56" s="4" t="n">
        <v>55</v>
      </c>
      <c r="B56" s="4" t="n">
        <f aca="false">ROUNDUP(A56/3,0)</f>
        <v>19</v>
      </c>
      <c r="C56" s="4" t="s">
        <v>340</v>
      </c>
      <c r="D56" s="4" t="s">
        <v>373</v>
      </c>
      <c r="E56" s="4" t="s">
        <v>218</v>
      </c>
      <c r="F56" s="5" t="s">
        <v>374</v>
      </c>
      <c r="G56" s="5" t="s">
        <v>375</v>
      </c>
      <c r="H56" s="4" t="s">
        <v>53</v>
      </c>
      <c r="I56" s="4" t="s">
        <v>127</v>
      </c>
      <c r="J56" s="4" t="s">
        <v>296</v>
      </c>
      <c r="K56" s="4" t="s">
        <v>94</v>
      </c>
      <c r="L56" s="4" t="s">
        <v>95</v>
      </c>
      <c r="M56" s="4" t="s">
        <v>96</v>
      </c>
      <c r="N56" s="4" t="n">
        <v>5</v>
      </c>
      <c r="O56" s="4" t="n">
        <v>4</v>
      </c>
      <c r="P56" s="4" t="n">
        <v>0</v>
      </c>
      <c r="Q56" s="4" t="n">
        <v>0</v>
      </c>
      <c r="R56" s="6" t="n">
        <v>0.38</v>
      </c>
      <c r="S56" s="6" t="n">
        <v>0.08</v>
      </c>
      <c r="T56" s="4"/>
      <c r="U56" s="5" t="s">
        <v>376</v>
      </c>
      <c r="V56" s="4" t="s">
        <v>300</v>
      </c>
      <c r="W56" s="7" t="n">
        <v>7880</v>
      </c>
      <c r="X56" s="7" t="n">
        <v>3000</v>
      </c>
      <c r="Y56" s="6" t="n">
        <f aca="false">IF(OR(W56="",W56=0,X56=""),"",X56/W56)</f>
        <v>0.380710659898477</v>
      </c>
      <c r="Z56" s="4" t="n">
        <v>5</v>
      </c>
      <c r="AA56" s="8" t="s">
        <v>377</v>
      </c>
      <c r="AB56" s="9" t="s">
        <v>62</v>
      </c>
      <c r="AC56" s="10"/>
      <c r="AD56" s="4"/>
      <c r="AE56" s="11" t="n">
        <f aca="false">IF(AB56&lt;&gt;"Published",COUNTIF($AB$2:AB56,"&lt;&gt;Published"),"")</f>
        <v>55</v>
      </c>
    </row>
    <row r="57" customFormat="false" ht="26.85" hidden="false" customHeight="false" outlineLevel="0" collapsed="false">
      <c r="A57" s="4" t="n">
        <v>56</v>
      </c>
      <c r="B57" s="4" t="n">
        <f aca="false">ROUNDUP(A57/3,0)</f>
        <v>19</v>
      </c>
      <c r="C57" s="4" t="s">
        <v>340</v>
      </c>
      <c r="D57" s="4" t="s">
        <v>378</v>
      </c>
      <c r="E57" s="4" t="s">
        <v>210</v>
      </c>
      <c r="F57" s="5" t="s">
        <v>379</v>
      </c>
      <c r="G57" s="5" t="s">
        <v>380</v>
      </c>
      <c r="H57" s="4" t="s">
        <v>53</v>
      </c>
      <c r="I57" s="4" t="s">
        <v>127</v>
      </c>
      <c r="J57" s="4" t="s">
        <v>341</v>
      </c>
      <c r="K57" s="4" t="s">
        <v>94</v>
      </c>
      <c r="L57" s="4" t="s">
        <v>381</v>
      </c>
      <c r="M57" s="4" t="s">
        <v>96</v>
      </c>
      <c r="N57" s="4" t="n">
        <v>0</v>
      </c>
      <c r="O57" s="4" t="n">
        <v>0</v>
      </c>
      <c r="P57" s="4" t="n">
        <v>0</v>
      </c>
      <c r="Q57" s="4" t="n">
        <v>0</v>
      </c>
      <c r="R57" s="6" t="n">
        <v>0</v>
      </c>
      <c r="S57" s="6" t="n">
        <v>0</v>
      </c>
      <c r="T57" s="4"/>
      <c r="U57" s="5"/>
      <c r="V57" s="4"/>
      <c r="W57" s="7"/>
      <c r="X57" s="7"/>
      <c r="Y57" s="6" t="str">
        <f aca="false">IF(OR(W57="",W57=0,X57=""),"",X57/W57)</f>
        <v/>
      </c>
      <c r="Z57" s="4"/>
      <c r="AA57" s="4"/>
      <c r="AB57" s="9" t="s">
        <v>62</v>
      </c>
      <c r="AC57" s="10"/>
      <c r="AD57" s="4"/>
      <c r="AE57" s="11" t="n">
        <f aca="false">IF(AB57&lt;&gt;"Published",COUNTIF($AB$2:AB57,"&lt;&gt;Published"),"")</f>
        <v>56</v>
      </c>
    </row>
    <row r="58" customFormat="false" ht="39.55" hidden="false" customHeight="false" outlineLevel="0" collapsed="false">
      <c r="A58" s="4" t="n">
        <v>57</v>
      </c>
      <c r="B58" s="4" t="n">
        <f aca="false">ROUNDUP(A58/3,0)</f>
        <v>19</v>
      </c>
      <c r="C58" s="4" t="s">
        <v>340</v>
      </c>
      <c r="D58" s="4" t="s">
        <v>382</v>
      </c>
      <c r="E58" s="4" t="s">
        <v>50</v>
      </c>
      <c r="F58" s="5" t="s">
        <v>383</v>
      </c>
      <c r="G58" s="5" t="s">
        <v>384</v>
      </c>
      <c r="H58" s="4" t="s">
        <v>74</v>
      </c>
      <c r="I58" s="4" t="s">
        <v>54</v>
      </c>
      <c r="J58" s="4" t="s">
        <v>361</v>
      </c>
      <c r="K58" s="4" t="s">
        <v>94</v>
      </c>
      <c r="L58" s="4" t="s">
        <v>115</v>
      </c>
      <c r="M58" s="4" t="s">
        <v>58</v>
      </c>
      <c r="N58" s="4" t="n">
        <v>12</v>
      </c>
      <c r="O58" s="4" t="n">
        <v>7</v>
      </c>
      <c r="P58" s="4" t="n">
        <v>4</v>
      </c>
      <c r="Q58" s="4" t="n">
        <v>1</v>
      </c>
      <c r="R58" s="6" t="n">
        <v>4.95</v>
      </c>
      <c r="S58" s="6" t="n">
        <v>1.43</v>
      </c>
      <c r="T58" s="4" t="n">
        <v>12</v>
      </c>
      <c r="U58" s="5" t="s">
        <v>385</v>
      </c>
      <c r="V58" s="4" t="s">
        <v>82</v>
      </c>
      <c r="W58" s="7" t="n">
        <v>82800</v>
      </c>
      <c r="X58" s="7" t="n">
        <v>410000</v>
      </c>
      <c r="Y58" s="6" t="n">
        <f aca="false">IF(OR(W58="",W58=0,X58=""),"",X58/W58)</f>
        <v>4.95169082125604</v>
      </c>
      <c r="Z58" s="4" t="n">
        <v>13</v>
      </c>
      <c r="AA58" s="8" t="s">
        <v>386</v>
      </c>
      <c r="AB58" s="9" t="s">
        <v>62</v>
      </c>
      <c r="AC58" s="10"/>
      <c r="AD58" s="4"/>
      <c r="AE58" s="11" t="n">
        <f aca="false">IF(AB58&lt;&gt;"Published",COUNTIF($AB$2:AB58,"&lt;&gt;Published"),"")</f>
        <v>57</v>
      </c>
    </row>
    <row r="59" customFormat="false" ht="39.55" hidden="false" customHeight="false" outlineLevel="0" collapsed="false">
      <c r="A59" s="4" t="n">
        <v>58</v>
      </c>
      <c r="B59" s="4" t="n">
        <f aca="false">ROUNDUP(A59/3,0)</f>
        <v>20</v>
      </c>
      <c r="C59" s="4" t="s">
        <v>340</v>
      </c>
      <c r="D59" s="4" t="s">
        <v>387</v>
      </c>
      <c r="E59" s="4" t="s">
        <v>64</v>
      </c>
      <c r="F59" s="5" t="s">
        <v>388</v>
      </c>
      <c r="G59" s="5" t="s">
        <v>389</v>
      </c>
      <c r="H59" s="4" t="s">
        <v>53</v>
      </c>
      <c r="I59" s="4" t="s">
        <v>127</v>
      </c>
      <c r="J59" s="4" t="s">
        <v>174</v>
      </c>
      <c r="K59" s="4" t="s">
        <v>94</v>
      </c>
      <c r="L59" s="4" t="s">
        <v>115</v>
      </c>
      <c r="M59" s="4" t="s">
        <v>231</v>
      </c>
      <c r="N59" s="4" t="n">
        <v>18</v>
      </c>
      <c r="O59" s="4" t="n">
        <v>15</v>
      </c>
      <c r="P59" s="4" t="n">
        <v>1</v>
      </c>
      <c r="Q59" s="4" t="n">
        <v>0</v>
      </c>
      <c r="R59" s="6" t="n">
        <v>1.36</v>
      </c>
      <c r="S59" s="6" t="n">
        <v>0.52</v>
      </c>
      <c r="T59" s="4" t="n">
        <v>0.2</v>
      </c>
      <c r="U59" s="5" t="s">
        <v>390</v>
      </c>
      <c r="V59" s="4" t="s">
        <v>391</v>
      </c>
      <c r="W59" s="7" t="n">
        <v>12500</v>
      </c>
      <c r="X59" s="7" t="n">
        <v>17000</v>
      </c>
      <c r="Y59" s="6" t="n">
        <f aca="false">IF(OR(W59="",W59=0,X59=""),"",X59/W59)</f>
        <v>1.36</v>
      </c>
      <c r="Z59" s="4" t="n">
        <v>0.25</v>
      </c>
      <c r="AA59" s="8" t="s">
        <v>392</v>
      </c>
      <c r="AB59" s="9" t="s">
        <v>62</v>
      </c>
      <c r="AC59" s="10"/>
      <c r="AD59" s="4"/>
      <c r="AE59" s="11" t="n">
        <f aca="false">IF(AB59&lt;&gt;"Published",COUNTIF($AB$2:AB59,"&lt;&gt;Published"),"")</f>
        <v>58</v>
      </c>
    </row>
    <row r="60" customFormat="false" ht="39.55" hidden="false" customHeight="false" outlineLevel="0" collapsed="false">
      <c r="A60" s="4" t="n">
        <v>59</v>
      </c>
      <c r="B60" s="4" t="n">
        <f aca="false">ROUNDUP(A60/3,0)</f>
        <v>20</v>
      </c>
      <c r="C60" s="4" t="s">
        <v>340</v>
      </c>
      <c r="D60" s="4" t="s">
        <v>393</v>
      </c>
      <c r="E60" s="4" t="s">
        <v>218</v>
      </c>
      <c r="F60" s="5" t="s">
        <v>394</v>
      </c>
      <c r="G60" s="5" t="s">
        <v>395</v>
      </c>
      <c r="H60" s="4" t="s">
        <v>53</v>
      </c>
      <c r="I60" s="4" t="s">
        <v>127</v>
      </c>
      <c r="J60" s="4" t="s">
        <v>373</v>
      </c>
      <c r="K60" s="4" t="s">
        <v>94</v>
      </c>
      <c r="L60" s="4" t="s">
        <v>115</v>
      </c>
      <c r="M60" s="4" t="s">
        <v>58</v>
      </c>
      <c r="N60" s="4" t="n">
        <v>7</v>
      </c>
      <c r="O60" s="4" t="n">
        <v>6</v>
      </c>
      <c r="P60" s="4" t="n">
        <v>1</v>
      </c>
      <c r="Q60" s="4" t="n">
        <v>0</v>
      </c>
      <c r="R60" s="6" t="n">
        <v>3.17</v>
      </c>
      <c r="S60" s="6" t="n">
        <v>0.35</v>
      </c>
      <c r="T60" s="4" t="n">
        <v>9</v>
      </c>
      <c r="U60" s="5" t="s">
        <v>396</v>
      </c>
      <c r="V60" s="4" t="s">
        <v>397</v>
      </c>
      <c r="W60" s="7" t="n">
        <v>10400</v>
      </c>
      <c r="X60" s="7" t="n">
        <v>33000</v>
      </c>
      <c r="Y60" s="6" t="n">
        <f aca="false">IF(OR(W60="",W60=0,X60=""),"",X60/W60)</f>
        <v>3.17307692307692</v>
      </c>
      <c r="Z60" s="4" t="n">
        <v>9</v>
      </c>
      <c r="AA60" s="8" t="s">
        <v>398</v>
      </c>
      <c r="AB60" s="9" t="s">
        <v>62</v>
      </c>
      <c r="AC60" s="10"/>
      <c r="AD60" s="4"/>
      <c r="AE60" s="11" t="n">
        <f aca="false">IF(AB60&lt;&gt;"Published",COUNTIF($AB$2:AB60,"&lt;&gt;Published"),"")</f>
        <v>59</v>
      </c>
    </row>
    <row r="61" customFormat="false" ht="26.85" hidden="false" customHeight="false" outlineLevel="0" collapsed="false">
      <c r="A61" s="4" t="n">
        <v>60</v>
      </c>
      <c r="B61" s="4" t="n">
        <f aca="false">ROUNDUP(A61/3,0)</f>
        <v>20</v>
      </c>
      <c r="C61" s="4" t="s">
        <v>340</v>
      </c>
      <c r="D61" s="4" t="s">
        <v>399</v>
      </c>
      <c r="E61" s="4" t="s">
        <v>210</v>
      </c>
      <c r="F61" s="5" t="s">
        <v>400</v>
      </c>
      <c r="G61" s="5" t="s">
        <v>401</v>
      </c>
      <c r="H61" s="4" t="s">
        <v>53</v>
      </c>
      <c r="I61" s="4" t="s">
        <v>127</v>
      </c>
      <c r="J61" s="4" t="s">
        <v>378</v>
      </c>
      <c r="K61" s="4" t="s">
        <v>94</v>
      </c>
      <c r="L61" s="4" t="s">
        <v>95</v>
      </c>
      <c r="M61" s="4" t="s">
        <v>96</v>
      </c>
      <c r="N61" s="4" t="n">
        <v>7</v>
      </c>
      <c r="O61" s="4" t="n">
        <v>6</v>
      </c>
      <c r="P61" s="4" t="n">
        <v>0</v>
      </c>
      <c r="Q61" s="4" t="n">
        <v>0</v>
      </c>
      <c r="R61" s="6" t="n">
        <v>0.13</v>
      </c>
      <c r="S61" s="6" t="n">
        <v>0.01</v>
      </c>
      <c r="T61" s="4"/>
      <c r="U61" s="5" t="s">
        <v>402</v>
      </c>
      <c r="V61" s="4" t="s">
        <v>215</v>
      </c>
      <c r="W61" s="7" t="n">
        <v>34000</v>
      </c>
      <c r="X61" s="7" t="n">
        <v>4300</v>
      </c>
      <c r="Y61" s="6" t="n">
        <f aca="false">IF(OR(W61="",W61=0,X61=""),"",X61/W61)</f>
        <v>0.126470588235294</v>
      </c>
      <c r="Z61" s="4" t="n">
        <v>9</v>
      </c>
      <c r="AA61" s="8" t="s">
        <v>403</v>
      </c>
      <c r="AB61" s="9" t="s">
        <v>62</v>
      </c>
      <c r="AC61" s="10"/>
      <c r="AD61" s="4"/>
      <c r="AE61" s="11" t="n">
        <f aca="false">IF(AB61&lt;&gt;"Published",COUNTIF($AB$2:AB61,"&lt;&gt;Published"),"")</f>
        <v>60</v>
      </c>
    </row>
    <row r="62" customFormat="false" ht="26.85" hidden="false" customHeight="false" outlineLevel="0" collapsed="false">
      <c r="A62" s="4" t="n">
        <v>61</v>
      </c>
      <c r="B62" s="4" t="n">
        <f aca="false">ROUNDUP(A62/3,0)</f>
        <v>21</v>
      </c>
      <c r="C62" s="4" t="s">
        <v>340</v>
      </c>
      <c r="D62" s="4" t="s">
        <v>404</v>
      </c>
      <c r="E62" s="4" t="s">
        <v>50</v>
      </c>
      <c r="F62" s="5" t="s">
        <v>405</v>
      </c>
      <c r="G62" s="5" t="s">
        <v>406</v>
      </c>
      <c r="H62" s="4" t="s">
        <v>53</v>
      </c>
      <c r="I62" s="4" t="s">
        <v>54</v>
      </c>
      <c r="J62" s="4" t="s">
        <v>361</v>
      </c>
      <c r="K62" s="4" t="s">
        <v>94</v>
      </c>
      <c r="L62" s="4" t="s">
        <v>115</v>
      </c>
      <c r="M62" s="4" t="s">
        <v>58</v>
      </c>
      <c r="N62" s="4" t="n">
        <v>13</v>
      </c>
      <c r="O62" s="4" t="n">
        <v>9</v>
      </c>
      <c r="P62" s="4" t="n">
        <v>5</v>
      </c>
      <c r="Q62" s="4" t="n">
        <v>1</v>
      </c>
      <c r="R62" s="6" t="n">
        <v>2.86</v>
      </c>
      <c r="S62" s="6" t="n">
        <v>1.43</v>
      </c>
      <c r="T62" s="4" t="n">
        <v>11</v>
      </c>
      <c r="U62" s="5" t="s">
        <v>407</v>
      </c>
      <c r="V62" s="4" t="s">
        <v>82</v>
      </c>
      <c r="W62" s="7" t="n">
        <v>82800</v>
      </c>
      <c r="X62" s="7" t="n">
        <v>210000</v>
      </c>
      <c r="Y62" s="6" t="n">
        <f aca="false">IF(OR(W62="",W62=0,X62=""),"",X62/W62)</f>
        <v>2.53623188405797</v>
      </c>
      <c r="Z62" s="4" t="n">
        <v>13</v>
      </c>
      <c r="AA62" s="8" t="s">
        <v>408</v>
      </c>
      <c r="AB62" s="9" t="s">
        <v>62</v>
      </c>
      <c r="AC62" s="10"/>
      <c r="AD62" s="4"/>
      <c r="AE62" s="11" t="n">
        <f aca="false">IF(AB62&lt;&gt;"Published",COUNTIF($AB$2:AB62,"&lt;&gt;Published"),"")</f>
        <v>61</v>
      </c>
    </row>
    <row r="63" customFormat="false" ht="39.55" hidden="false" customHeight="false" outlineLevel="0" collapsed="false">
      <c r="A63" s="4" t="n">
        <v>62</v>
      </c>
      <c r="B63" s="4" t="n">
        <f aca="false">ROUNDUP(A63/3,0)</f>
        <v>21</v>
      </c>
      <c r="C63" s="4" t="s">
        <v>340</v>
      </c>
      <c r="D63" s="4" t="s">
        <v>409</v>
      </c>
      <c r="E63" s="4" t="s">
        <v>64</v>
      </c>
      <c r="F63" s="5" t="s">
        <v>410</v>
      </c>
      <c r="G63" s="5" t="s">
        <v>411</v>
      </c>
      <c r="H63" s="4" t="s">
        <v>53</v>
      </c>
      <c r="I63" s="4" t="s">
        <v>127</v>
      </c>
      <c r="J63" s="4" t="s">
        <v>262</v>
      </c>
      <c r="K63" s="4" t="s">
        <v>56</v>
      </c>
      <c r="L63" s="4" t="s">
        <v>57</v>
      </c>
      <c r="M63" s="4" t="s">
        <v>58</v>
      </c>
      <c r="N63" s="4" t="n">
        <v>2</v>
      </c>
      <c r="O63" s="4" t="n">
        <v>2</v>
      </c>
      <c r="P63" s="4" t="n">
        <v>1</v>
      </c>
      <c r="Q63" s="4" t="n">
        <v>0</v>
      </c>
      <c r="R63" s="6" t="n">
        <v>6.14</v>
      </c>
      <c r="S63" s="6" t="n">
        <v>1.71</v>
      </c>
      <c r="T63" s="4" t="n">
        <v>9</v>
      </c>
      <c r="U63" s="5" t="s">
        <v>412</v>
      </c>
      <c r="V63" s="4" t="s">
        <v>413</v>
      </c>
      <c r="W63" s="7" t="n">
        <v>77900</v>
      </c>
      <c r="X63" s="7" t="n">
        <v>478000</v>
      </c>
      <c r="Y63" s="6" t="n">
        <f aca="false">IF(OR(W63="",W63=0,X63=""),"",X63/W63)</f>
        <v>6.13607188703466</v>
      </c>
      <c r="Z63" s="4" t="n">
        <v>9</v>
      </c>
      <c r="AA63" s="8" t="s">
        <v>414</v>
      </c>
      <c r="AB63" s="9" t="s">
        <v>62</v>
      </c>
      <c r="AC63" s="10"/>
      <c r="AD63" s="4"/>
      <c r="AE63" s="11" t="n">
        <f aca="false">IF(AB63&lt;&gt;"Published",COUNTIF($AB$2:AB63,"&lt;&gt;Published"),"")</f>
        <v>62</v>
      </c>
    </row>
    <row r="64" customFormat="false" ht="39.55" hidden="false" customHeight="false" outlineLevel="0" collapsed="false">
      <c r="A64" s="4" t="n">
        <v>63</v>
      </c>
      <c r="B64" s="4" t="n">
        <f aca="false">ROUNDUP(A64/3,0)</f>
        <v>21</v>
      </c>
      <c r="C64" s="4" t="s">
        <v>340</v>
      </c>
      <c r="D64" s="4" t="s">
        <v>415</v>
      </c>
      <c r="E64" s="4" t="s">
        <v>416</v>
      </c>
      <c r="F64" s="5" t="s">
        <v>417</v>
      </c>
      <c r="G64" s="5" t="s">
        <v>418</v>
      </c>
      <c r="H64" s="4" t="s">
        <v>228</v>
      </c>
      <c r="I64" s="4" t="s">
        <v>419</v>
      </c>
      <c r="J64" s="4" t="s">
        <v>420</v>
      </c>
      <c r="K64" s="4" t="s">
        <v>421</v>
      </c>
      <c r="L64" s="4" t="s">
        <v>57</v>
      </c>
      <c r="M64" s="4" t="s">
        <v>58</v>
      </c>
      <c r="N64" s="4" t="n">
        <v>289</v>
      </c>
      <c r="O64" s="4" t="n">
        <v>6</v>
      </c>
      <c r="P64" s="4" t="n">
        <v>27</v>
      </c>
      <c r="Q64" s="4" t="n">
        <v>3</v>
      </c>
      <c r="R64" s="6" t="n">
        <v>5.54</v>
      </c>
      <c r="S64" s="6" t="n">
        <v>8.3</v>
      </c>
      <c r="T64" s="4" t="n">
        <v>10</v>
      </c>
      <c r="U64" s="5" t="s">
        <v>422</v>
      </c>
      <c r="V64" s="4" t="s">
        <v>423</v>
      </c>
      <c r="W64" s="7" t="n">
        <v>43300</v>
      </c>
      <c r="X64" s="7" t="n">
        <v>177000</v>
      </c>
      <c r="Y64" s="6" t="n">
        <f aca="false">IF(OR(W64="",W64=0,X64=""),"",X64/W64)</f>
        <v>4.08775981524249</v>
      </c>
      <c r="Z64" s="4" t="n">
        <v>10</v>
      </c>
      <c r="AA64" s="8" t="s">
        <v>424</v>
      </c>
      <c r="AB64" s="9" t="s">
        <v>62</v>
      </c>
      <c r="AC64" s="10"/>
      <c r="AD64" s="4"/>
      <c r="AE64" s="11" t="n">
        <f aca="false">IF(AB64&lt;&gt;"Published",COUNTIF($AB$2:AB64,"&lt;&gt;Published"),"")</f>
        <v>63</v>
      </c>
    </row>
    <row r="65" customFormat="false" ht="26.85" hidden="false" customHeight="false" outlineLevel="0" collapsed="false">
      <c r="A65" s="4" t="n">
        <v>64</v>
      </c>
      <c r="B65" s="4" t="n">
        <f aca="false">ROUNDUP(A65/3,0)</f>
        <v>22</v>
      </c>
      <c r="C65" s="4" t="s">
        <v>340</v>
      </c>
      <c r="D65" s="4" t="s">
        <v>425</v>
      </c>
      <c r="E65" s="4" t="s">
        <v>218</v>
      </c>
      <c r="F65" s="5" t="s">
        <v>426</v>
      </c>
      <c r="G65" s="5" t="s">
        <v>427</v>
      </c>
      <c r="H65" s="4" t="s">
        <v>53</v>
      </c>
      <c r="I65" s="4" t="s">
        <v>127</v>
      </c>
      <c r="J65" s="4" t="s">
        <v>393</v>
      </c>
      <c r="K65" s="4" t="s">
        <v>94</v>
      </c>
      <c r="L65" s="4" t="s">
        <v>57</v>
      </c>
      <c r="M65" s="4" t="s">
        <v>58</v>
      </c>
      <c r="N65" s="4" t="n">
        <v>2</v>
      </c>
      <c r="O65" s="4" t="n">
        <v>2</v>
      </c>
      <c r="P65" s="4" t="n">
        <v>1</v>
      </c>
      <c r="Q65" s="4" t="n">
        <v>1</v>
      </c>
      <c r="R65" s="6" t="n">
        <v>49.82</v>
      </c>
      <c r="S65" s="6" t="n">
        <v>4.53</v>
      </c>
      <c r="T65" s="4" t="n">
        <v>11</v>
      </c>
      <c r="U65" s="5" t="s">
        <v>428</v>
      </c>
      <c r="V65" s="4" t="s">
        <v>277</v>
      </c>
      <c r="W65" s="7" t="n">
        <v>5480</v>
      </c>
      <c r="X65" s="7" t="n">
        <v>273000</v>
      </c>
      <c r="Y65" s="6" t="n">
        <f aca="false">IF(OR(W65="",W65=0,X65=""),"",X65/W65)</f>
        <v>49.8175182481752</v>
      </c>
      <c r="Z65" s="4" t="n">
        <v>11</v>
      </c>
      <c r="AA65" s="8" t="s">
        <v>429</v>
      </c>
      <c r="AB65" s="9" t="s">
        <v>62</v>
      </c>
      <c r="AC65" s="10"/>
      <c r="AD65" s="4"/>
      <c r="AE65" s="11" t="n">
        <f aca="false">IF(AB65&lt;&gt;"Published",COUNTIF($AB$2:AB65,"&lt;&gt;Published"),"")</f>
        <v>64</v>
      </c>
    </row>
    <row r="66" customFormat="false" ht="26.85" hidden="false" customHeight="false" outlineLevel="0" collapsed="false">
      <c r="A66" s="4" t="n">
        <v>65</v>
      </c>
      <c r="B66" s="4" t="n">
        <f aca="false">ROUNDUP(A66/3,0)</f>
        <v>22</v>
      </c>
      <c r="C66" s="4" t="s">
        <v>340</v>
      </c>
      <c r="D66" s="4" t="s">
        <v>430</v>
      </c>
      <c r="E66" s="4" t="s">
        <v>210</v>
      </c>
      <c r="F66" s="5" t="s">
        <v>431</v>
      </c>
      <c r="G66" s="5" t="s">
        <v>432</v>
      </c>
      <c r="H66" s="4" t="s">
        <v>53</v>
      </c>
      <c r="I66" s="4" t="s">
        <v>127</v>
      </c>
      <c r="J66" s="4" t="s">
        <v>378</v>
      </c>
      <c r="K66" s="4" t="s">
        <v>94</v>
      </c>
      <c r="L66" s="4" t="s">
        <v>95</v>
      </c>
      <c r="M66" s="4" t="s">
        <v>96</v>
      </c>
      <c r="N66" s="4" t="n">
        <v>9</v>
      </c>
      <c r="O66" s="4" t="n">
        <v>7</v>
      </c>
      <c r="P66" s="4" t="n">
        <v>0</v>
      </c>
      <c r="Q66" s="4" t="n">
        <v>0</v>
      </c>
      <c r="R66" s="6" t="n">
        <v>0.15</v>
      </c>
      <c r="S66" s="6" t="n">
        <v>0.01</v>
      </c>
      <c r="T66" s="4"/>
      <c r="U66" s="5" t="s">
        <v>433</v>
      </c>
      <c r="V66" s="4" t="s">
        <v>129</v>
      </c>
      <c r="W66" s="7" t="n">
        <v>47500</v>
      </c>
      <c r="X66" s="7" t="n">
        <v>7000</v>
      </c>
      <c r="Y66" s="6" t="n">
        <f aca="false">IF(OR(W66="",W66=0,X66=""),"",X66/W66)</f>
        <v>0.147368421052632</v>
      </c>
      <c r="Z66" s="4" t="n">
        <v>16</v>
      </c>
      <c r="AA66" s="8" t="s">
        <v>434</v>
      </c>
      <c r="AB66" s="9" t="s">
        <v>62</v>
      </c>
      <c r="AC66" s="10"/>
      <c r="AD66" s="4"/>
      <c r="AE66" s="11" t="n">
        <f aca="false">IF(AB66&lt;&gt;"Published",COUNTIF($AB$2:AB66,"&lt;&gt;Published"),"")</f>
        <v>65</v>
      </c>
    </row>
    <row r="67" customFormat="false" ht="39.55" hidden="false" customHeight="false" outlineLevel="0" collapsed="false">
      <c r="A67" s="4" t="n">
        <v>66</v>
      </c>
      <c r="B67" s="4" t="n">
        <f aca="false">ROUNDUP(A67/3,0)</f>
        <v>22</v>
      </c>
      <c r="C67" s="4" t="s">
        <v>340</v>
      </c>
      <c r="D67" s="4" t="s">
        <v>435</v>
      </c>
      <c r="E67" s="4" t="s">
        <v>50</v>
      </c>
      <c r="F67" s="5" t="s">
        <v>436</v>
      </c>
      <c r="G67" s="5" t="s">
        <v>437</v>
      </c>
      <c r="H67" s="4" t="s">
        <v>53</v>
      </c>
      <c r="I67" s="4" t="s">
        <v>54</v>
      </c>
      <c r="J67" s="4" t="s">
        <v>279</v>
      </c>
      <c r="K67" s="4" t="s">
        <v>56</v>
      </c>
      <c r="L67" s="4" t="s">
        <v>115</v>
      </c>
      <c r="M67" s="4" t="s">
        <v>67</v>
      </c>
      <c r="N67" s="4" t="n">
        <v>37</v>
      </c>
      <c r="O67" s="4" t="n">
        <v>22</v>
      </c>
      <c r="P67" s="4" t="n">
        <v>9</v>
      </c>
      <c r="Q67" s="4" t="n">
        <v>1</v>
      </c>
      <c r="R67" s="6" t="n">
        <v>10.85</v>
      </c>
      <c r="S67" s="6" t="n">
        <v>1.46</v>
      </c>
      <c r="T67" s="4" t="n">
        <v>7</v>
      </c>
      <c r="U67" s="5" t="s">
        <v>282</v>
      </c>
      <c r="V67" s="4" t="s">
        <v>245</v>
      </c>
      <c r="W67" s="7" t="n">
        <v>5990</v>
      </c>
      <c r="X67" s="7" t="n">
        <v>65000</v>
      </c>
      <c r="Y67" s="6" t="n">
        <f aca="false">IF(OR(W67="",W67=0,X67=""),"",X67/W67)</f>
        <v>10.8514190317195</v>
      </c>
      <c r="Z67" s="4" t="n">
        <v>12</v>
      </c>
      <c r="AA67" s="8" t="s">
        <v>283</v>
      </c>
      <c r="AB67" s="9" t="s">
        <v>62</v>
      </c>
      <c r="AC67" s="10"/>
      <c r="AD67" s="4"/>
      <c r="AE67" s="11" t="n">
        <f aca="false">IF(AB67&lt;&gt;"Published",COUNTIF($AB$2:AB67,"&lt;&gt;Published"),"")</f>
        <v>66</v>
      </c>
    </row>
    <row r="68" customFormat="false" ht="39.55" hidden="false" customHeight="false" outlineLevel="0" collapsed="false">
      <c r="A68" s="4" t="n">
        <v>67</v>
      </c>
      <c r="B68" s="4" t="n">
        <f aca="false">ROUNDUP(A68/3,0)</f>
        <v>23</v>
      </c>
      <c r="C68" s="4" t="s">
        <v>340</v>
      </c>
      <c r="D68" s="4" t="s">
        <v>438</v>
      </c>
      <c r="E68" s="4" t="s">
        <v>64</v>
      </c>
      <c r="F68" s="5" t="s">
        <v>439</v>
      </c>
      <c r="G68" s="5" t="s">
        <v>440</v>
      </c>
      <c r="H68" s="4" t="s">
        <v>53</v>
      </c>
      <c r="I68" s="4" t="s">
        <v>127</v>
      </c>
      <c r="J68" s="4" t="s">
        <v>104</v>
      </c>
      <c r="K68" s="4" t="s">
        <v>94</v>
      </c>
      <c r="L68" s="4" t="s">
        <v>115</v>
      </c>
      <c r="M68" s="4" t="s">
        <v>67</v>
      </c>
      <c r="N68" s="4" t="n">
        <v>6</v>
      </c>
      <c r="O68" s="4" t="n">
        <v>4</v>
      </c>
      <c r="P68" s="4" t="n">
        <v>1</v>
      </c>
      <c r="Q68" s="4" t="n">
        <v>0</v>
      </c>
      <c r="R68" s="6" t="n">
        <v>2.84</v>
      </c>
      <c r="S68" s="6" t="n">
        <v>0.71</v>
      </c>
      <c r="T68" s="4" t="n">
        <v>4</v>
      </c>
      <c r="U68" s="5" t="s">
        <v>441</v>
      </c>
      <c r="V68" s="4" t="s">
        <v>135</v>
      </c>
      <c r="W68" s="7" t="n">
        <v>8790</v>
      </c>
      <c r="X68" s="7" t="n">
        <v>25000</v>
      </c>
      <c r="Y68" s="6" t="n">
        <f aca="false">IF(OR(W68="",W68=0,X68=""),"",X68/W68)</f>
        <v>2.84414106939704</v>
      </c>
      <c r="Z68" s="4" t="n">
        <v>4</v>
      </c>
      <c r="AA68" s="8" t="s">
        <v>442</v>
      </c>
      <c r="AB68" s="9" t="s">
        <v>62</v>
      </c>
      <c r="AC68" s="10"/>
      <c r="AD68" s="4"/>
      <c r="AE68" s="11" t="n">
        <f aca="false">IF(AB68&lt;&gt;"Published",COUNTIF($AB$2:AB68,"&lt;&gt;Published"),"")</f>
        <v>67</v>
      </c>
    </row>
    <row r="69" customFormat="false" ht="26.85" hidden="false" customHeight="false" outlineLevel="0" collapsed="false">
      <c r="A69" s="4" t="n">
        <v>68</v>
      </c>
      <c r="B69" s="4" t="n">
        <f aca="false">ROUNDUP(A69/3,0)</f>
        <v>23</v>
      </c>
      <c r="C69" s="4" t="s">
        <v>340</v>
      </c>
      <c r="D69" s="4" t="s">
        <v>443</v>
      </c>
      <c r="E69" s="4" t="s">
        <v>218</v>
      </c>
      <c r="F69" s="5" t="s">
        <v>444</v>
      </c>
      <c r="G69" s="5" t="s">
        <v>445</v>
      </c>
      <c r="H69" s="4" t="s">
        <v>53</v>
      </c>
      <c r="I69" s="4" t="s">
        <v>107</v>
      </c>
      <c r="J69" s="4" t="s">
        <v>393</v>
      </c>
      <c r="K69" s="4" t="s">
        <v>94</v>
      </c>
      <c r="L69" s="4" t="s">
        <v>57</v>
      </c>
      <c r="M69" s="4" t="s">
        <v>58</v>
      </c>
      <c r="N69" s="4" t="n">
        <v>19</v>
      </c>
      <c r="O69" s="4" t="n">
        <v>7</v>
      </c>
      <c r="P69" s="4" t="n">
        <v>5</v>
      </c>
      <c r="Q69" s="4" t="n">
        <v>1</v>
      </c>
      <c r="R69" s="6" t="n">
        <v>17.88</v>
      </c>
      <c r="S69" s="6" t="n">
        <v>1.63</v>
      </c>
      <c r="T69" s="4" t="n">
        <v>11</v>
      </c>
      <c r="U69" s="5" t="s">
        <v>446</v>
      </c>
      <c r="V69" s="4" t="s">
        <v>277</v>
      </c>
      <c r="W69" s="7" t="n">
        <v>5480</v>
      </c>
      <c r="X69" s="7" t="n">
        <v>98000</v>
      </c>
      <c r="Y69" s="6" t="n">
        <f aca="false">IF(OR(W69="",W69=0,X69=""),"",X69/W69)</f>
        <v>17.8832116788321</v>
      </c>
      <c r="Z69" s="4" t="n">
        <v>11</v>
      </c>
      <c r="AA69" s="8" t="s">
        <v>447</v>
      </c>
      <c r="AB69" s="9" t="s">
        <v>62</v>
      </c>
      <c r="AC69" s="10"/>
      <c r="AD69" s="4"/>
      <c r="AE69" s="11" t="n">
        <f aca="false">IF(AB69&lt;&gt;"Published",COUNTIF($AB$2:AB69,"&lt;&gt;Published"),"")</f>
        <v>68</v>
      </c>
    </row>
    <row r="70" customFormat="false" ht="26.85" hidden="false" customHeight="false" outlineLevel="0" collapsed="false">
      <c r="A70" s="4" t="n">
        <v>69</v>
      </c>
      <c r="B70" s="4" t="n">
        <f aca="false">ROUNDUP(A70/3,0)</f>
        <v>23</v>
      </c>
      <c r="C70" s="4" t="s">
        <v>340</v>
      </c>
      <c r="D70" s="4" t="s">
        <v>448</v>
      </c>
      <c r="E70" s="4" t="s">
        <v>210</v>
      </c>
      <c r="F70" s="5" t="s">
        <v>449</v>
      </c>
      <c r="G70" s="5" t="s">
        <v>450</v>
      </c>
      <c r="H70" s="4" t="s">
        <v>53</v>
      </c>
      <c r="I70" s="4" t="s">
        <v>54</v>
      </c>
      <c r="J70" s="4" t="s">
        <v>290</v>
      </c>
      <c r="K70" s="4" t="s">
        <v>94</v>
      </c>
      <c r="L70" s="4" t="s">
        <v>95</v>
      </c>
      <c r="M70" s="4" t="s">
        <v>96</v>
      </c>
      <c r="N70" s="4" t="n">
        <v>4</v>
      </c>
      <c r="O70" s="4" t="n">
        <v>2</v>
      </c>
      <c r="P70" s="4" t="n">
        <v>0</v>
      </c>
      <c r="Q70" s="4" t="n">
        <v>0</v>
      </c>
      <c r="R70" s="6" t="n">
        <v>0.24</v>
      </c>
      <c r="S70" s="6" t="n">
        <v>0.02</v>
      </c>
      <c r="T70" s="4"/>
      <c r="U70" s="5" t="s">
        <v>451</v>
      </c>
      <c r="V70" s="4" t="s">
        <v>69</v>
      </c>
      <c r="W70" s="7" t="n">
        <v>29500</v>
      </c>
      <c r="X70" s="7" t="n">
        <v>7200</v>
      </c>
      <c r="Y70" s="6" t="n">
        <f aca="false">IF(OR(W70="",W70=0,X70=""),"",X70/W70)</f>
        <v>0.24406779661017</v>
      </c>
      <c r="Z70" s="4" t="n">
        <v>13</v>
      </c>
      <c r="AA70" s="8" t="s">
        <v>452</v>
      </c>
      <c r="AB70" s="9" t="s">
        <v>62</v>
      </c>
      <c r="AC70" s="10"/>
      <c r="AD70" s="4"/>
      <c r="AE70" s="11" t="n">
        <f aca="false">IF(AB70&lt;&gt;"Published",COUNTIF($AB$2:AB70,"&lt;&gt;Published"),"")</f>
        <v>69</v>
      </c>
    </row>
    <row r="71" customFormat="false" ht="26.85" hidden="false" customHeight="false" outlineLevel="0" collapsed="false">
      <c r="A71" s="4" t="n">
        <v>70</v>
      </c>
      <c r="B71" s="4" t="n">
        <f aca="false">ROUNDUP(A71/3,0)</f>
        <v>24</v>
      </c>
      <c r="C71" s="4" t="s">
        <v>340</v>
      </c>
      <c r="D71" s="4" t="s">
        <v>453</v>
      </c>
      <c r="E71" s="4" t="s">
        <v>50</v>
      </c>
      <c r="F71" s="5" t="s">
        <v>454</v>
      </c>
      <c r="G71" s="5" t="s">
        <v>455</v>
      </c>
      <c r="H71" s="4" t="s">
        <v>53</v>
      </c>
      <c r="I71" s="4" t="s">
        <v>54</v>
      </c>
      <c r="J71" s="4" t="s">
        <v>111</v>
      </c>
      <c r="K71" s="4" t="s">
        <v>56</v>
      </c>
      <c r="L71" s="4" t="s">
        <v>57</v>
      </c>
      <c r="M71" s="4" t="s">
        <v>58</v>
      </c>
      <c r="N71" s="4" t="n">
        <v>93</v>
      </c>
      <c r="O71" s="4" t="n">
        <v>26</v>
      </c>
      <c r="P71" s="4" t="n">
        <v>14</v>
      </c>
      <c r="Q71" s="4" t="n">
        <v>1</v>
      </c>
      <c r="R71" s="6" t="n">
        <v>9.02</v>
      </c>
      <c r="S71" s="6" t="n">
        <v>4.96</v>
      </c>
      <c r="T71" s="4" t="n">
        <v>8</v>
      </c>
      <c r="U71" s="5" t="s">
        <v>456</v>
      </c>
      <c r="V71" s="4" t="s">
        <v>245</v>
      </c>
      <c r="W71" s="7" t="n">
        <v>5990</v>
      </c>
      <c r="X71" s="7" t="n">
        <v>54000</v>
      </c>
      <c r="Y71" s="6" t="n">
        <f aca="false">IF(OR(W71="",W71=0,X71=""),"",X71/W71)</f>
        <v>9.01502504173623</v>
      </c>
      <c r="Z71" s="4" t="n">
        <v>7</v>
      </c>
      <c r="AA71" s="8" t="s">
        <v>457</v>
      </c>
      <c r="AB71" s="9" t="s">
        <v>62</v>
      </c>
      <c r="AC71" s="10"/>
      <c r="AD71" s="4"/>
      <c r="AE71" s="11" t="n">
        <f aca="false">IF(AB71&lt;&gt;"Published",COUNTIF($AB$2:AB71,"&lt;&gt;Published"),"")</f>
        <v>70</v>
      </c>
    </row>
    <row r="72" customFormat="false" ht="39.55" hidden="false" customHeight="false" outlineLevel="0" collapsed="false">
      <c r="A72" s="4" t="n">
        <v>71</v>
      </c>
      <c r="B72" s="4" t="n">
        <f aca="false">ROUNDUP(A72/3,0)</f>
        <v>24</v>
      </c>
      <c r="C72" s="4" t="s">
        <v>340</v>
      </c>
      <c r="D72" s="4" t="s">
        <v>458</v>
      </c>
      <c r="E72" s="4" t="s">
        <v>64</v>
      </c>
      <c r="F72" s="5" t="s">
        <v>459</v>
      </c>
      <c r="G72" s="5" t="s">
        <v>460</v>
      </c>
      <c r="H72" s="4" t="s">
        <v>53</v>
      </c>
      <c r="I72" s="4" t="s">
        <v>127</v>
      </c>
      <c r="J72" s="4" t="s">
        <v>284</v>
      </c>
      <c r="K72" s="4" t="s">
        <v>94</v>
      </c>
      <c r="L72" s="4" t="s">
        <v>95</v>
      </c>
      <c r="M72" s="4" t="s">
        <v>96</v>
      </c>
      <c r="N72" s="4" t="n">
        <v>3</v>
      </c>
      <c r="O72" s="4" t="n">
        <v>3</v>
      </c>
      <c r="P72" s="4" t="n">
        <v>0</v>
      </c>
      <c r="Q72" s="4" t="n">
        <v>0</v>
      </c>
      <c r="R72" s="6" t="n">
        <v>0.31</v>
      </c>
      <c r="S72" s="6" t="n">
        <v>0.08</v>
      </c>
      <c r="T72" s="4"/>
      <c r="U72" s="5" t="s">
        <v>461</v>
      </c>
      <c r="V72" s="4" t="s">
        <v>271</v>
      </c>
      <c r="W72" s="7" t="n">
        <v>99200</v>
      </c>
      <c r="X72" s="7" t="n">
        <v>31000</v>
      </c>
      <c r="Y72" s="6" t="n">
        <f aca="false">IF(OR(W72="",W72=0,X72=""),"",X72/W72)</f>
        <v>0.3125</v>
      </c>
      <c r="Z72" s="4" t="n">
        <v>4</v>
      </c>
      <c r="AA72" s="8" t="s">
        <v>462</v>
      </c>
      <c r="AB72" s="9" t="s">
        <v>62</v>
      </c>
      <c r="AC72" s="10"/>
      <c r="AD72" s="4"/>
      <c r="AE72" s="11" t="n">
        <f aca="false">IF(AB72&lt;&gt;"Published",COUNTIF($AB$2:AB72,"&lt;&gt;Published"),"")</f>
        <v>71</v>
      </c>
    </row>
    <row r="73" customFormat="false" ht="26.85" hidden="false" customHeight="false" outlineLevel="0" collapsed="false">
      <c r="A73" s="4" t="n">
        <v>72</v>
      </c>
      <c r="B73" s="4" t="n">
        <f aca="false">ROUNDUP(A73/3,0)</f>
        <v>24</v>
      </c>
      <c r="C73" s="4" t="s">
        <v>340</v>
      </c>
      <c r="D73" s="4" t="s">
        <v>463</v>
      </c>
      <c r="E73" s="4" t="s">
        <v>218</v>
      </c>
      <c r="F73" s="5" t="s">
        <v>464</v>
      </c>
      <c r="G73" s="5" t="s">
        <v>465</v>
      </c>
      <c r="H73" s="4" t="s">
        <v>53</v>
      </c>
      <c r="I73" s="4" t="s">
        <v>127</v>
      </c>
      <c r="J73" s="4" t="s">
        <v>393</v>
      </c>
      <c r="K73" s="4" t="s">
        <v>94</v>
      </c>
      <c r="L73" s="4" t="s">
        <v>57</v>
      </c>
      <c r="M73" s="4" t="s">
        <v>58</v>
      </c>
      <c r="N73" s="4" t="n">
        <v>4</v>
      </c>
      <c r="O73" s="4" t="n">
        <v>4</v>
      </c>
      <c r="P73" s="4" t="n">
        <v>1</v>
      </c>
      <c r="Q73" s="4" t="n">
        <v>1</v>
      </c>
      <c r="R73" s="6" t="n">
        <v>23.36</v>
      </c>
      <c r="S73" s="6" t="n">
        <v>2.12</v>
      </c>
      <c r="T73" s="4" t="n">
        <v>11</v>
      </c>
      <c r="U73" s="5" t="s">
        <v>466</v>
      </c>
      <c r="V73" s="4" t="s">
        <v>277</v>
      </c>
      <c r="W73" s="7" t="n">
        <v>5480</v>
      </c>
      <c r="X73" s="7" t="n">
        <v>128000</v>
      </c>
      <c r="Y73" s="6" t="n">
        <f aca="false">IF(OR(W73="",W73=0,X73=""),"",X73/W73)</f>
        <v>23.3576642335766</v>
      </c>
      <c r="Z73" s="4" t="n">
        <v>11</v>
      </c>
      <c r="AA73" s="8" t="s">
        <v>467</v>
      </c>
      <c r="AB73" s="9" t="s">
        <v>62</v>
      </c>
      <c r="AC73" s="10"/>
      <c r="AD73" s="4"/>
      <c r="AE73" s="11" t="n">
        <f aca="false">IF(AB73&lt;&gt;"Published",COUNTIF($AB$2:AB73,"&lt;&gt;Published"),"")</f>
        <v>72</v>
      </c>
    </row>
    <row r="74" customFormat="false" ht="26.85" hidden="false" customHeight="false" outlineLevel="0" collapsed="false">
      <c r="A74" s="4" t="n">
        <v>73</v>
      </c>
      <c r="B74" s="4" t="n">
        <f aca="false">ROUNDUP(A74/3,0)</f>
        <v>25</v>
      </c>
      <c r="C74" s="4" t="s">
        <v>340</v>
      </c>
      <c r="D74" s="4" t="s">
        <v>468</v>
      </c>
      <c r="E74" s="4" t="s">
        <v>210</v>
      </c>
      <c r="F74" s="5" t="s">
        <v>469</v>
      </c>
      <c r="G74" s="5" t="s">
        <v>470</v>
      </c>
      <c r="H74" s="4" t="s">
        <v>53</v>
      </c>
      <c r="I74" s="4" t="s">
        <v>54</v>
      </c>
      <c r="J74" s="4" t="s">
        <v>471</v>
      </c>
      <c r="K74" s="4" t="s">
        <v>94</v>
      </c>
      <c r="L74" s="4" t="s">
        <v>115</v>
      </c>
      <c r="M74" s="4" t="s">
        <v>67</v>
      </c>
      <c r="N74" s="4" t="n">
        <v>3</v>
      </c>
      <c r="O74" s="4" t="n">
        <v>3</v>
      </c>
      <c r="P74" s="4" t="n">
        <v>1</v>
      </c>
      <c r="Q74" s="4" t="n">
        <v>0</v>
      </c>
      <c r="R74" s="6" t="n">
        <v>2.03</v>
      </c>
      <c r="S74" s="6" t="n">
        <v>0.94</v>
      </c>
      <c r="T74" s="4" t="n">
        <v>4</v>
      </c>
      <c r="U74" s="5" t="s">
        <v>472</v>
      </c>
      <c r="V74" s="4" t="s">
        <v>239</v>
      </c>
      <c r="W74" s="7" t="n">
        <v>47700</v>
      </c>
      <c r="X74" s="7" t="n">
        <v>97000</v>
      </c>
      <c r="Y74" s="6" t="n">
        <f aca="false">IF(OR(W74="",W74=0,X74=""),"",X74/W74)</f>
        <v>2.0335429769392</v>
      </c>
      <c r="Z74" s="4" t="n">
        <v>4</v>
      </c>
      <c r="AA74" s="8" t="s">
        <v>473</v>
      </c>
      <c r="AB74" s="9" t="s">
        <v>62</v>
      </c>
      <c r="AC74" s="10"/>
      <c r="AD74" s="4"/>
      <c r="AE74" s="11" t="n">
        <f aca="false">IF(AB74&lt;&gt;"Published",COUNTIF($AB$2:AB74,"&lt;&gt;Published"),"")</f>
        <v>73</v>
      </c>
    </row>
    <row r="75" customFormat="false" ht="26.85" hidden="false" customHeight="false" outlineLevel="0" collapsed="false">
      <c r="A75" s="4" t="n">
        <v>74</v>
      </c>
      <c r="B75" s="4" t="n">
        <f aca="false">ROUNDUP(A75/3,0)</f>
        <v>25</v>
      </c>
      <c r="C75" s="4" t="s">
        <v>340</v>
      </c>
      <c r="D75" s="4" t="s">
        <v>474</v>
      </c>
      <c r="E75" s="4" t="s">
        <v>50</v>
      </c>
      <c r="F75" s="5" t="s">
        <v>475</v>
      </c>
      <c r="G75" s="5" t="s">
        <v>476</v>
      </c>
      <c r="H75" s="4" t="s">
        <v>53</v>
      </c>
      <c r="I75" s="4" t="s">
        <v>54</v>
      </c>
      <c r="J75" s="4" t="s">
        <v>453</v>
      </c>
      <c r="K75" s="4" t="s">
        <v>94</v>
      </c>
      <c r="L75" s="4" t="s">
        <v>115</v>
      </c>
      <c r="M75" s="4" t="s">
        <v>58</v>
      </c>
      <c r="N75" s="4" t="n">
        <v>10</v>
      </c>
      <c r="O75" s="4" t="n">
        <v>8</v>
      </c>
      <c r="P75" s="4" t="n">
        <v>1</v>
      </c>
      <c r="Q75" s="4" t="n">
        <v>0</v>
      </c>
      <c r="R75" s="6" t="n">
        <v>5.71</v>
      </c>
      <c r="S75" s="6" t="n">
        <v>0.81</v>
      </c>
      <c r="T75" s="4" t="n">
        <v>8</v>
      </c>
      <c r="U75" s="5" t="s">
        <v>477</v>
      </c>
      <c r="V75" s="4" t="s">
        <v>172</v>
      </c>
      <c r="W75" s="7" t="n">
        <v>11200</v>
      </c>
      <c r="X75" s="7" t="n">
        <v>64000</v>
      </c>
      <c r="Y75" s="6" t="n">
        <f aca="false">IF(OR(W75="",W75=0,X75=""),"",X75/W75)</f>
        <v>5.71428571428571</v>
      </c>
      <c r="Z75" s="4" t="n">
        <v>8</v>
      </c>
      <c r="AA75" s="8" t="s">
        <v>478</v>
      </c>
      <c r="AB75" s="9" t="s">
        <v>62</v>
      </c>
      <c r="AC75" s="10"/>
      <c r="AD75" s="4"/>
      <c r="AE75" s="11" t="n">
        <f aca="false">IF(AB75&lt;&gt;"Published",COUNTIF($AB$2:AB75,"&lt;&gt;Published"),"")</f>
        <v>74</v>
      </c>
    </row>
    <row r="76" customFormat="false" ht="39.55" hidden="false" customHeight="false" outlineLevel="0" collapsed="false">
      <c r="A76" s="4" t="n">
        <v>75</v>
      </c>
      <c r="B76" s="4" t="n">
        <f aca="false">ROUNDUP(A76/3,0)</f>
        <v>25</v>
      </c>
      <c r="C76" s="4" t="s">
        <v>340</v>
      </c>
      <c r="D76" s="4" t="s">
        <v>479</v>
      </c>
      <c r="E76" s="4" t="s">
        <v>64</v>
      </c>
      <c r="F76" s="5" t="s">
        <v>480</v>
      </c>
      <c r="G76" s="5" t="s">
        <v>481</v>
      </c>
      <c r="H76" s="4" t="s">
        <v>53</v>
      </c>
      <c r="I76" s="4" t="s">
        <v>127</v>
      </c>
      <c r="J76" s="4" t="s">
        <v>314</v>
      </c>
      <c r="K76" s="4" t="s">
        <v>94</v>
      </c>
      <c r="L76" s="4" t="s">
        <v>115</v>
      </c>
      <c r="M76" s="4" t="s">
        <v>58</v>
      </c>
      <c r="N76" s="4" t="n">
        <v>14</v>
      </c>
      <c r="O76" s="4" t="n">
        <v>12</v>
      </c>
      <c r="P76" s="4" t="n">
        <v>1</v>
      </c>
      <c r="Q76" s="4" t="n">
        <v>0</v>
      </c>
      <c r="R76" s="6" t="n">
        <v>1.45</v>
      </c>
      <c r="S76" s="6" t="n">
        <v>0.16</v>
      </c>
      <c r="T76" s="4" t="n">
        <v>15</v>
      </c>
      <c r="U76" s="5" t="s">
        <v>482</v>
      </c>
      <c r="V76" s="4" t="s">
        <v>129</v>
      </c>
      <c r="W76" s="7" t="n">
        <v>47500</v>
      </c>
      <c r="X76" s="7" t="n">
        <v>69000</v>
      </c>
      <c r="Y76" s="6" t="n">
        <f aca="false">IF(OR(W76="",W76=0,X76=""),"",X76/W76)</f>
        <v>1.45263157894737</v>
      </c>
      <c r="Z76" s="4" t="n">
        <v>15</v>
      </c>
      <c r="AA76" s="8" t="s">
        <v>483</v>
      </c>
      <c r="AB76" s="9" t="s">
        <v>62</v>
      </c>
      <c r="AC76" s="10"/>
      <c r="AD76" s="4"/>
      <c r="AE76" s="11" t="n">
        <f aca="false">IF(AB76&lt;&gt;"Published",COUNTIF($AB$2:AB76,"&lt;&gt;Published"),"")</f>
        <v>75</v>
      </c>
    </row>
    <row r="77" customFormat="false" ht="26.85" hidden="false" customHeight="false" outlineLevel="0" collapsed="false">
      <c r="A77" s="4" t="n">
        <v>76</v>
      </c>
      <c r="B77" s="4" t="n">
        <f aca="false">ROUNDUP(A77/3,0)</f>
        <v>26</v>
      </c>
      <c r="C77" s="4" t="s">
        <v>340</v>
      </c>
      <c r="D77" s="4" t="s">
        <v>484</v>
      </c>
      <c r="E77" s="4" t="s">
        <v>218</v>
      </c>
      <c r="F77" s="5" t="s">
        <v>485</v>
      </c>
      <c r="G77" s="5" t="s">
        <v>486</v>
      </c>
      <c r="H77" s="4" t="s">
        <v>53</v>
      </c>
      <c r="I77" s="4" t="s">
        <v>107</v>
      </c>
      <c r="J77" s="4" t="s">
        <v>296</v>
      </c>
      <c r="K77" s="4" t="s">
        <v>94</v>
      </c>
      <c r="L77" s="4" t="s">
        <v>115</v>
      </c>
      <c r="M77" s="4" t="s">
        <v>58</v>
      </c>
      <c r="N77" s="4" t="n">
        <v>16</v>
      </c>
      <c r="O77" s="4" t="n">
        <v>5</v>
      </c>
      <c r="P77" s="4" t="n">
        <v>6</v>
      </c>
      <c r="Q77" s="4" t="n">
        <v>0</v>
      </c>
      <c r="R77" s="6" t="n">
        <v>7.63</v>
      </c>
      <c r="S77" s="6" t="n">
        <v>0.54</v>
      </c>
      <c r="T77" s="4" t="n">
        <v>13</v>
      </c>
      <c r="U77" s="5" t="s">
        <v>487</v>
      </c>
      <c r="V77" s="4" t="s">
        <v>488</v>
      </c>
      <c r="W77" s="7" t="n">
        <v>76100</v>
      </c>
      <c r="X77" s="7" t="n">
        <v>505000</v>
      </c>
      <c r="Y77" s="6" t="n">
        <f aca="false">IF(OR(W77="",W77=0,X77=""),"",X77/W77)</f>
        <v>6.63600525624179</v>
      </c>
      <c r="Z77" s="4" t="n">
        <v>13</v>
      </c>
      <c r="AA77" s="8" t="s">
        <v>489</v>
      </c>
      <c r="AB77" s="9" t="s">
        <v>62</v>
      </c>
      <c r="AC77" s="10"/>
      <c r="AD77" s="4"/>
      <c r="AE77" s="11" t="n">
        <f aca="false">IF(AB77&lt;&gt;"Published",COUNTIF($AB$2:AB77,"&lt;&gt;Published"),"")</f>
        <v>76</v>
      </c>
    </row>
    <row r="78" customFormat="false" ht="26.85" hidden="false" customHeight="false" outlineLevel="0" collapsed="false">
      <c r="A78" s="4" t="n">
        <v>77</v>
      </c>
      <c r="B78" s="4" t="n">
        <f aca="false">ROUNDUP(A78/3,0)</f>
        <v>26</v>
      </c>
      <c r="C78" s="4" t="s">
        <v>340</v>
      </c>
      <c r="D78" s="4" t="s">
        <v>490</v>
      </c>
      <c r="E78" s="4" t="s">
        <v>210</v>
      </c>
      <c r="F78" s="5" t="s">
        <v>469</v>
      </c>
      <c r="G78" s="5" t="s">
        <v>491</v>
      </c>
      <c r="H78" s="4" t="s">
        <v>53</v>
      </c>
      <c r="I78" s="4" t="s">
        <v>127</v>
      </c>
      <c r="J78" s="4" t="s">
        <v>341</v>
      </c>
      <c r="K78" s="4" t="s">
        <v>94</v>
      </c>
      <c r="L78" s="4" t="s">
        <v>95</v>
      </c>
      <c r="M78" s="4" t="s">
        <v>96</v>
      </c>
      <c r="N78" s="4" t="n">
        <v>3</v>
      </c>
      <c r="O78" s="4" t="n">
        <v>2</v>
      </c>
      <c r="P78" s="4" t="n">
        <v>0</v>
      </c>
      <c r="Q78" s="4" t="n">
        <v>0</v>
      </c>
      <c r="R78" s="6" t="n">
        <v>0.7</v>
      </c>
      <c r="S78" s="6" t="n">
        <v>0.23</v>
      </c>
      <c r="T78" s="4"/>
      <c r="U78" s="5" t="s">
        <v>492</v>
      </c>
      <c r="V78" s="4" t="s">
        <v>294</v>
      </c>
      <c r="W78" s="7" t="n">
        <v>55600</v>
      </c>
      <c r="X78" s="7" t="n">
        <v>39000</v>
      </c>
      <c r="Y78" s="6" t="n">
        <f aca="false">IF(OR(W78="",W78=0,X78=""),"",X78/W78)</f>
        <v>0.701438848920863</v>
      </c>
      <c r="Z78" s="4" t="n">
        <v>3</v>
      </c>
      <c r="AA78" s="8" t="s">
        <v>493</v>
      </c>
      <c r="AB78" s="9" t="s">
        <v>62</v>
      </c>
      <c r="AC78" s="10"/>
      <c r="AD78" s="4"/>
      <c r="AE78" s="11" t="n">
        <f aca="false">IF(AB78&lt;&gt;"Published",COUNTIF($AB$2:AB78,"&lt;&gt;Published"),"")</f>
        <v>77</v>
      </c>
    </row>
    <row r="79" customFormat="false" ht="39.55" hidden="false" customHeight="false" outlineLevel="0" collapsed="false">
      <c r="A79" s="4" t="n">
        <v>78</v>
      </c>
      <c r="B79" s="4" t="n">
        <f aca="false">ROUNDUP(A79/3,0)</f>
        <v>26</v>
      </c>
      <c r="C79" s="4" t="s">
        <v>340</v>
      </c>
      <c r="D79" s="4" t="s">
        <v>494</v>
      </c>
      <c r="E79" s="4" t="s">
        <v>50</v>
      </c>
      <c r="F79" s="5" t="s">
        <v>495</v>
      </c>
      <c r="G79" s="5" t="s">
        <v>496</v>
      </c>
      <c r="H79" s="4" t="s">
        <v>53</v>
      </c>
      <c r="I79" s="4" t="s">
        <v>87</v>
      </c>
      <c r="J79" s="4" t="s">
        <v>453</v>
      </c>
      <c r="K79" s="4" t="s">
        <v>114</v>
      </c>
      <c r="L79" s="4" t="s">
        <v>115</v>
      </c>
      <c r="M79" s="4" t="s">
        <v>58</v>
      </c>
      <c r="N79" s="4" t="n">
        <v>40</v>
      </c>
      <c r="O79" s="4" t="n">
        <v>24</v>
      </c>
      <c r="P79" s="4" t="n">
        <v>1</v>
      </c>
      <c r="Q79" s="4" t="n">
        <v>0</v>
      </c>
      <c r="R79" s="6" t="n">
        <v>1.6</v>
      </c>
      <c r="S79" s="6" t="n">
        <v>1.13</v>
      </c>
      <c r="T79" s="4" t="n">
        <v>8</v>
      </c>
      <c r="U79" s="5" t="s">
        <v>497</v>
      </c>
      <c r="V79" s="4" t="s">
        <v>178</v>
      </c>
      <c r="W79" s="7" t="n">
        <v>113000</v>
      </c>
      <c r="X79" s="7" t="n">
        <v>148000</v>
      </c>
      <c r="Y79" s="6" t="n">
        <f aca="false">IF(OR(W79="",W79=0,X79=""),"",X79/W79)</f>
        <v>1.30973451327434</v>
      </c>
      <c r="Z79" s="4" t="n">
        <v>8</v>
      </c>
      <c r="AA79" s="8" t="s">
        <v>498</v>
      </c>
      <c r="AB79" s="9" t="s">
        <v>62</v>
      </c>
      <c r="AC79" s="10"/>
      <c r="AD79" s="4"/>
      <c r="AE79" s="11" t="n">
        <f aca="false">IF(AB79&lt;&gt;"Published",COUNTIF($AB$2:AB79,"&lt;&gt;Published"),"")</f>
        <v>78</v>
      </c>
    </row>
    <row r="80" customFormat="false" ht="39.55" hidden="false" customHeight="false" outlineLevel="0" collapsed="false">
      <c r="A80" s="4" t="n">
        <v>79</v>
      </c>
      <c r="B80" s="4" t="n">
        <f aca="false">ROUNDUP(A80/3,0)</f>
        <v>27</v>
      </c>
      <c r="C80" s="4" t="s">
        <v>340</v>
      </c>
      <c r="D80" s="4" t="s">
        <v>499</v>
      </c>
      <c r="E80" s="4" t="s">
        <v>64</v>
      </c>
      <c r="F80" s="5" t="s">
        <v>500</v>
      </c>
      <c r="G80" s="5" t="s">
        <v>501</v>
      </c>
      <c r="H80" s="4" t="s">
        <v>53</v>
      </c>
      <c r="I80" s="4" t="s">
        <v>127</v>
      </c>
      <c r="J80" s="4" t="s">
        <v>119</v>
      </c>
      <c r="K80" s="4" t="s">
        <v>94</v>
      </c>
      <c r="L80" s="4" t="s">
        <v>57</v>
      </c>
      <c r="M80" s="4" t="s">
        <v>231</v>
      </c>
      <c r="N80" s="4" t="n">
        <v>100</v>
      </c>
      <c r="O80" s="4" t="n">
        <v>39</v>
      </c>
      <c r="P80" s="4" t="n">
        <v>5</v>
      </c>
      <c r="Q80" s="4" t="n">
        <v>2</v>
      </c>
      <c r="R80" s="6" t="n">
        <v>7.8</v>
      </c>
      <c r="S80" s="6" t="n">
        <v>2.6</v>
      </c>
      <c r="T80" s="4" t="n">
        <v>2</v>
      </c>
      <c r="U80" s="5" t="s">
        <v>502</v>
      </c>
      <c r="V80" s="4" t="s">
        <v>503</v>
      </c>
      <c r="W80" s="7" t="n">
        <v>141000</v>
      </c>
      <c r="X80" s="7" t="n">
        <v>1100000</v>
      </c>
      <c r="Y80" s="6" t="n">
        <f aca="false">IF(OR(W80="",W80=0,X80=""),"",X80/W80)</f>
        <v>7.80141843971631</v>
      </c>
      <c r="Z80" s="4" t="n">
        <v>3</v>
      </c>
      <c r="AA80" s="8" t="s">
        <v>504</v>
      </c>
      <c r="AB80" s="9" t="s">
        <v>62</v>
      </c>
      <c r="AC80" s="10"/>
      <c r="AD80" s="4"/>
      <c r="AE80" s="11" t="n">
        <f aca="false">IF(AB80&lt;&gt;"Published",COUNTIF($AB$2:AB80,"&lt;&gt;Published"),"")</f>
        <v>79</v>
      </c>
    </row>
    <row r="81" customFormat="false" ht="26.85" hidden="false" customHeight="false" outlineLevel="0" collapsed="false">
      <c r="A81" s="4" t="n">
        <v>80</v>
      </c>
      <c r="B81" s="4" t="n">
        <f aca="false">ROUNDUP(A81/3,0)</f>
        <v>27</v>
      </c>
      <c r="C81" s="4" t="s">
        <v>340</v>
      </c>
      <c r="D81" s="4" t="s">
        <v>505</v>
      </c>
      <c r="E81" s="4" t="s">
        <v>210</v>
      </c>
      <c r="F81" s="5" t="s">
        <v>506</v>
      </c>
      <c r="G81" s="5" t="s">
        <v>507</v>
      </c>
      <c r="H81" s="4" t="s">
        <v>228</v>
      </c>
      <c r="I81" s="4" t="s">
        <v>419</v>
      </c>
      <c r="J81" s="4" t="s">
        <v>508</v>
      </c>
      <c r="K81" s="4" t="s">
        <v>94</v>
      </c>
      <c r="L81" s="4" t="s">
        <v>95</v>
      </c>
      <c r="M81" s="4" t="s">
        <v>96</v>
      </c>
      <c r="N81" s="4" t="n">
        <v>1</v>
      </c>
      <c r="O81" s="4" t="n">
        <v>1</v>
      </c>
      <c r="P81" s="4" t="n">
        <v>0</v>
      </c>
      <c r="Q81" s="4" t="n">
        <v>0</v>
      </c>
      <c r="R81" s="6" t="n">
        <v>0.02</v>
      </c>
      <c r="S81" s="6" t="n">
        <v>0</v>
      </c>
      <c r="T81" s="4"/>
      <c r="U81" s="5" t="s">
        <v>509</v>
      </c>
      <c r="V81" s="4" t="s">
        <v>510</v>
      </c>
      <c r="W81" s="7" t="n">
        <v>80400</v>
      </c>
      <c r="X81" s="7" t="n">
        <v>1400</v>
      </c>
      <c r="Y81" s="6" t="n">
        <f aca="false">IF(OR(W81="",W81=0,X81=""),"",X81/W81)</f>
        <v>0.0174129353233831</v>
      </c>
      <c r="Z81" s="4" t="n">
        <v>0.25</v>
      </c>
      <c r="AA81" s="8" t="s">
        <v>511</v>
      </c>
      <c r="AB81" s="9" t="s">
        <v>62</v>
      </c>
      <c r="AC81" s="10"/>
      <c r="AD81" s="4"/>
      <c r="AE81" s="11" t="n">
        <f aca="false">IF(AB81&lt;&gt;"Published",COUNTIF($AB$2:AB81,"&lt;&gt;Published"),"")</f>
        <v>80</v>
      </c>
    </row>
    <row r="82" customFormat="false" ht="26.85" hidden="false" customHeight="false" outlineLevel="0" collapsed="false">
      <c r="A82" s="4" t="n">
        <v>81</v>
      </c>
      <c r="B82" s="4" t="n">
        <f aca="false">ROUNDUP(A82/3,0)</f>
        <v>27</v>
      </c>
      <c r="C82" s="4" t="s">
        <v>340</v>
      </c>
      <c r="D82" s="4" t="s">
        <v>512</v>
      </c>
      <c r="E82" s="4" t="s">
        <v>218</v>
      </c>
      <c r="F82" s="5" t="s">
        <v>513</v>
      </c>
      <c r="G82" s="5" t="s">
        <v>514</v>
      </c>
      <c r="H82" s="4" t="s">
        <v>53</v>
      </c>
      <c r="I82" s="4" t="s">
        <v>127</v>
      </c>
      <c r="J82" s="4" t="s">
        <v>515</v>
      </c>
      <c r="K82" s="4" t="s">
        <v>94</v>
      </c>
      <c r="L82" s="4" t="s">
        <v>95</v>
      </c>
      <c r="M82" s="4" t="s">
        <v>96</v>
      </c>
      <c r="N82" s="4" t="n">
        <v>3</v>
      </c>
      <c r="O82" s="4" t="n">
        <v>2</v>
      </c>
      <c r="P82" s="4" t="n">
        <v>0</v>
      </c>
      <c r="Q82" s="4" t="n">
        <v>0</v>
      </c>
      <c r="R82" s="6" t="n">
        <v>0.15</v>
      </c>
      <c r="S82" s="6" t="n">
        <v>0.23</v>
      </c>
      <c r="T82" s="4"/>
      <c r="U82" s="5" t="s">
        <v>516</v>
      </c>
      <c r="V82" s="4" t="s">
        <v>517</v>
      </c>
      <c r="W82" s="7" t="n">
        <v>5070</v>
      </c>
      <c r="X82" s="7" t="n">
        <v>779</v>
      </c>
      <c r="Y82" s="6" t="n">
        <f aca="false">IF(OR(W82="",W82=0,X82=""),"",X82/W82)</f>
        <v>0.153648915187377</v>
      </c>
      <c r="Z82" s="4" t="n">
        <v>0.67</v>
      </c>
      <c r="AA82" s="8" t="s">
        <v>518</v>
      </c>
      <c r="AB82" s="9" t="s">
        <v>62</v>
      </c>
      <c r="AC82" s="10"/>
      <c r="AD82" s="4"/>
      <c r="AE82" s="11" t="n">
        <f aca="false">IF(AB82&lt;&gt;"Published",COUNTIF($AB$2:AB82,"&lt;&gt;Published"),"")</f>
        <v>81</v>
      </c>
    </row>
    <row r="83" customFormat="false" ht="39.55" hidden="false" customHeight="false" outlineLevel="0" collapsed="false">
      <c r="A83" s="4" t="n">
        <v>82</v>
      </c>
      <c r="B83" s="4" t="n">
        <f aca="false">ROUNDUP(A83/3,0)</f>
        <v>28</v>
      </c>
      <c r="C83" s="4" t="s">
        <v>340</v>
      </c>
      <c r="D83" s="4" t="s">
        <v>519</v>
      </c>
      <c r="E83" s="4" t="s">
        <v>50</v>
      </c>
      <c r="F83" s="5" t="s">
        <v>520</v>
      </c>
      <c r="G83" s="5" t="s">
        <v>521</v>
      </c>
      <c r="H83" s="4" t="s">
        <v>53</v>
      </c>
      <c r="I83" s="4" t="s">
        <v>54</v>
      </c>
      <c r="J83" s="4" t="s">
        <v>49</v>
      </c>
      <c r="K83" s="4" t="s">
        <v>94</v>
      </c>
      <c r="L83" s="4" t="s">
        <v>115</v>
      </c>
      <c r="M83" s="4" t="s">
        <v>67</v>
      </c>
      <c r="N83" s="4" t="n">
        <v>19</v>
      </c>
      <c r="O83" s="4" t="n">
        <v>12</v>
      </c>
      <c r="P83" s="4" t="n">
        <v>1</v>
      </c>
      <c r="Q83" s="4" t="n">
        <v>1</v>
      </c>
      <c r="R83" s="6" t="n">
        <v>8.83</v>
      </c>
      <c r="S83" s="6" t="n">
        <v>1.47</v>
      </c>
      <c r="T83" s="4" t="n">
        <v>6</v>
      </c>
      <c r="U83" s="5" t="s">
        <v>522</v>
      </c>
      <c r="V83" s="4" t="s">
        <v>523</v>
      </c>
      <c r="W83" s="7" t="n">
        <v>15400</v>
      </c>
      <c r="X83" s="7" t="n">
        <v>136000</v>
      </c>
      <c r="Y83" s="6" t="n">
        <f aca="false">IF(OR(W83="",W83=0,X83=""),"",X83/W83)</f>
        <v>8.83116883116883</v>
      </c>
      <c r="Z83" s="4" t="n">
        <v>6</v>
      </c>
      <c r="AA83" s="8" t="s">
        <v>524</v>
      </c>
      <c r="AB83" s="9" t="s">
        <v>62</v>
      </c>
      <c r="AC83" s="10"/>
      <c r="AD83" s="4"/>
      <c r="AE83" s="11" t="n">
        <f aca="false">IF(AB83&lt;&gt;"Published",COUNTIF($AB$2:AB83,"&lt;&gt;Published"),"")</f>
        <v>82</v>
      </c>
    </row>
    <row r="84" customFormat="false" ht="39.55" hidden="false" customHeight="false" outlineLevel="0" collapsed="false">
      <c r="A84" s="4" t="n">
        <v>83</v>
      </c>
      <c r="B84" s="4" t="n">
        <f aca="false">ROUNDUP(A84/3,0)</f>
        <v>28</v>
      </c>
      <c r="C84" s="4" t="s">
        <v>340</v>
      </c>
      <c r="D84" s="4" t="s">
        <v>525</v>
      </c>
      <c r="E84" s="4" t="s">
        <v>218</v>
      </c>
      <c r="F84" s="5" t="s">
        <v>526</v>
      </c>
      <c r="G84" s="5" t="s">
        <v>527</v>
      </c>
      <c r="H84" s="4" t="s">
        <v>53</v>
      </c>
      <c r="I84" s="4" t="s">
        <v>127</v>
      </c>
      <c r="J84" s="4" t="s">
        <v>296</v>
      </c>
      <c r="K84" s="4" t="s">
        <v>94</v>
      </c>
      <c r="L84" s="4" t="s">
        <v>115</v>
      </c>
      <c r="M84" s="4" t="s">
        <v>58</v>
      </c>
      <c r="N84" s="4" t="n">
        <v>25</v>
      </c>
      <c r="O84" s="4" t="n">
        <v>4</v>
      </c>
      <c r="P84" s="4" t="n">
        <v>7</v>
      </c>
      <c r="Q84" s="4" t="n">
        <v>0</v>
      </c>
      <c r="R84" s="6" t="n">
        <v>3.94</v>
      </c>
      <c r="S84" s="6" t="n">
        <v>0.3</v>
      </c>
      <c r="T84" s="4" t="n">
        <v>13</v>
      </c>
      <c r="U84" s="5" t="s">
        <v>528</v>
      </c>
      <c r="V84" s="4" t="s">
        <v>488</v>
      </c>
      <c r="W84" s="7" t="n">
        <v>76100</v>
      </c>
      <c r="X84" s="7" t="n">
        <v>300000</v>
      </c>
      <c r="Y84" s="6" t="n">
        <f aca="false">IF(OR(W84="",W84=0,X84=""),"",X84/W84)</f>
        <v>3.94218134034166</v>
      </c>
      <c r="Z84" s="4" t="n">
        <v>13</v>
      </c>
      <c r="AA84" s="8" t="s">
        <v>529</v>
      </c>
      <c r="AB84" s="9" t="s">
        <v>62</v>
      </c>
      <c r="AC84" s="10"/>
      <c r="AD84" s="4"/>
      <c r="AE84" s="11" t="n">
        <f aca="false">IF(AB84&lt;&gt;"Published",COUNTIF($AB$2:AB84,"&lt;&gt;Published"),"")</f>
        <v>83</v>
      </c>
    </row>
    <row r="85" customFormat="false" ht="39.55" hidden="false" customHeight="false" outlineLevel="0" collapsed="false">
      <c r="A85" s="4" t="n">
        <v>84</v>
      </c>
      <c r="B85" s="4" t="n">
        <f aca="false">ROUNDUP(A85/3,0)</f>
        <v>28</v>
      </c>
      <c r="C85" s="4" t="s">
        <v>340</v>
      </c>
      <c r="D85" s="4" t="s">
        <v>530</v>
      </c>
      <c r="E85" s="4" t="s">
        <v>50</v>
      </c>
      <c r="F85" s="5" t="s">
        <v>531</v>
      </c>
      <c r="G85" s="5" t="s">
        <v>532</v>
      </c>
      <c r="H85" s="4" t="s">
        <v>53</v>
      </c>
      <c r="I85" s="4" t="s">
        <v>127</v>
      </c>
      <c r="J85" s="4" t="s">
        <v>124</v>
      </c>
      <c r="K85" s="4" t="s">
        <v>94</v>
      </c>
      <c r="L85" s="4" t="s">
        <v>115</v>
      </c>
      <c r="M85" s="4" t="s">
        <v>231</v>
      </c>
      <c r="N85" s="4" t="n">
        <v>19</v>
      </c>
      <c r="O85" s="4" t="n">
        <v>7</v>
      </c>
      <c r="P85" s="4" t="n">
        <v>4</v>
      </c>
      <c r="Q85" s="4" t="n">
        <v>1</v>
      </c>
      <c r="R85" s="6" t="n">
        <v>3.16</v>
      </c>
      <c r="S85" s="6" t="n">
        <v>1.14</v>
      </c>
      <c r="T85" s="4" t="n">
        <v>3.5</v>
      </c>
      <c r="U85" s="5" t="s">
        <v>533</v>
      </c>
      <c r="V85" s="4" t="s">
        <v>294</v>
      </c>
      <c r="W85" s="7" t="n">
        <v>55600</v>
      </c>
      <c r="X85" s="7" t="n">
        <v>175000</v>
      </c>
      <c r="Y85" s="6" t="n">
        <f aca="false">IF(OR(W85="",W85=0,X85=""),"",X85/W85)</f>
        <v>3.14748201438849</v>
      </c>
      <c r="Z85" s="4" t="n">
        <v>11</v>
      </c>
      <c r="AA85" s="8" t="s">
        <v>534</v>
      </c>
      <c r="AB85" s="9" t="s">
        <v>62</v>
      </c>
      <c r="AC85" s="10"/>
      <c r="AD85" s="4"/>
      <c r="AE85" s="11" t="n">
        <f aca="false">IF(AB85&lt;&gt;"Published",COUNTIF($AB$2:AB85,"&lt;&gt;Published"),"")</f>
        <v>84</v>
      </c>
    </row>
    <row r="86" customFormat="false" ht="26.85" hidden="false" customHeight="false" outlineLevel="0" collapsed="false">
      <c r="A86" s="4" t="n">
        <v>85</v>
      </c>
      <c r="B86" s="4" t="n">
        <f aca="false">ROUNDUP(A86/3,0)</f>
        <v>29</v>
      </c>
      <c r="C86" s="4" t="s">
        <v>340</v>
      </c>
      <c r="D86" s="4" t="s">
        <v>535</v>
      </c>
      <c r="E86" s="4" t="s">
        <v>218</v>
      </c>
      <c r="F86" s="5" t="s">
        <v>536</v>
      </c>
      <c r="G86" s="5" t="s">
        <v>537</v>
      </c>
      <c r="H86" s="4" t="s">
        <v>53</v>
      </c>
      <c r="I86" s="4" t="s">
        <v>107</v>
      </c>
      <c r="J86" s="4" t="s">
        <v>217</v>
      </c>
      <c r="K86" s="4" t="s">
        <v>94</v>
      </c>
      <c r="L86" s="4" t="s">
        <v>115</v>
      </c>
      <c r="M86" s="4" t="s">
        <v>58</v>
      </c>
      <c r="N86" s="4" t="n">
        <v>16</v>
      </c>
      <c r="O86" s="4" t="n">
        <v>6</v>
      </c>
      <c r="P86" s="4" t="n">
        <v>7</v>
      </c>
      <c r="Q86" s="4" t="n">
        <v>0</v>
      </c>
      <c r="R86" s="6" t="n">
        <v>4.65</v>
      </c>
      <c r="S86" s="6" t="n">
        <v>0.71</v>
      </c>
      <c r="T86" s="4" t="n">
        <v>12</v>
      </c>
      <c r="U86" s="5" t="s">
        <v>538</v>
      </c>
      <c r="V86" s="4" t="s">
        <v>488</v>
      </c>
      <c r="W86" s="7" t="n">
        <v>76100</v>
      </c>
      <c r="X86" s="7" t="n">
        <v>354000</v>
      </c>
      <c r="Y86" s="6" t="n">
        <f aca="false">IF(OR(W86="",W86=0,X86=""),"",X86/W86)</f>
        <v>4.65177398160315</v>
      </c>
      <c r="Z86" s="4" t="n">
        <v>12</v>
      </c>
      <c r="AA86" s="8" t="s">
        <v>539</v>
      </c>
      <c r="AB86" s="9" t="s">
        <v>62</v>
      </c>
      <c r="AC86" s="10"/>
      <c r="AD86" s="4"/>
      <c r="AE86" s="11" t="n">
        <f aca="false">IF(AB86&lt;&gt;"Published",COUNTIF($AB$2:AB86,"&lt;&gt;Published"),"")</f>
        <v>85</v>
      </c>
    </row>
    <row r="87" customFormat="false" ht="39.55" hidden="false" customHeight="false" outlineLevel="0" collapsed="false">
      <c r="A87" s="4" t="n">
        <v>86</v>
      </c>
      <c r="B87" s="4" t="n">
        <f aca="false">ROUNDUP(A87/3,0)</f>
        <v>29</v>
      </c>
      <c r="C87" s="4" t="s">
        <v>340</v>
      </c>
      <c r="D87" s="4" t="s">
        <v>540</v>
      </c>
      <c r="E87" s="4" t="s">
        <v>50</v>
      </c>
      <c r="F87" s="5" t="s">
        <v>541</v>
      </c>
      <c r="G87" s="5" t="s">
        <v>542</v>
      </c>
      <c r="H87" s="4" t="s">
        <v>53</v>
      </c>
      <c r="I87" s="4" t="s">
        <v>127</v>
      </c>
      <c r="J87" s="4" t="s">
        <v>235</v>
      </c>
      <c r="K87" s="4" t="s">
        <v>56</v>
      </c>
      <c r="L87" s="4" t="s">
        <v>115</v>
      </c>
      <c r="M87" s="4" t="s">
        <v>67</v>
      </c>
      <c r="N87" s="4" t="n">
        <v>80</v>
      </c>
      <c r="O87" s="4" t="n">
        <v>34</v>
      </c>
      <c r="P87" s="4" t="n">
        <v>9</v>
      </c>
      <c r="Q87" s="4" t="n">
        <v>1</v>
      </c>
      <c r="R87" s="6" t="n">
        <v>6.6</v>
      </c>
      <c r="S87" s="6" t="n">
        <v>1.1</v>
      </c>
      <c r="T87" s="4" t="n">
        <v>6</v>
      </c>
      <c r="U87" s="5" t="s">
        <v>543</v>
      </c>
      <c r="V87" s="4" t="s">
        <v>239</v>
      </c>
      <c r="W87" s="7" t="n">
        <v>47700</v>
      </c>
      <c r="X87" s="7" t="n">
        <v>315000</v>
      </c>
      <c r="Y87" s="6" t="n">
        <f aca="false">IF(OR(W87="",W87=0,X87=""),"",X87/W87)</f>
        <v>6.60377358490566</v>
      </c>
      <c r="Z87" s="4" t="n">
        <v>6</v>
      </c>
      <c r="AA87" s="8" t="s">
        <v>544</v>
      </c>
      <c r="AB87" s="9" t="s">
        <v>62</v>
      </c>
      <c r="AC87" s="10"/>
      <c r="AD87" s="4"/>
      <c r="AE87" s="11" t="n">
        <f aca="false">IF(AB87&lt;&gt;"Published",COUNTIF($AB$2:AB87,"&lt;&gt;Published"),"")</f>
        <v>86</v>
      </c>
    </row>
    <row r="88" customFormat="false" ht="26.85" hidden="false" customHeight="false" outlineLevel="0" collapsed="false">
      <c r="A88" s="4" t="n">
        <v>87</v>
      </c>
      <c r="B88" s="4" t="n">
        <f aca="false">ROUNDUP(A88/3,0)</f>
        <v>29</v>
      </c>
      <c r="C88" s="4" t="s">
        <v>340</v>
      </c>
      <c r="D88" s="4" t="s">
        <v>545</v>
      </c>
      <c r="E88" s="4" t="s">
        <v>218</v>
      </c>
      <c r="F88" s="5" t="s">
        <v>546</v>
      </c>
      <c r="G88" s="5" t="s">
        <v>547</v>
      </c>
      <c r="H88" s="4" t="s">
        <v>53</v>
      </c>
      <c r="I88" s="4" t="s">
        <v>107</v>
      </c>
      <c r="J88" s="4" t="s">
        <v>535</v>
      </c>
      <c r="K88" s="4" t="s">
        <v>94</v>
      </c>
      <c r="L88" s="4" t="s">
        <v>115</v>
      </c>
      <c r="M88" s="4" t="s">
        <v>58</v>
      </c>
      <c r="N88" s="4" t="n">
        <v>7</v>
      </c>
      <c r="O88" s="4" t="n">
        <v>2</v>
      </c>
      <c r="P88" s="4" t="n">
        <v>4</v>
      </c>
      <c r="Q88" s="4" t="n">
        <v>0</v>
      </c>
      <c r="R88" s="6" t="n">
        <v>4.65</v>
      </c>
      <c r="S88" s="6" t="n">
        <v>0.39</v>
      </c>
      <c r="T88" s="4" t="n">
        <v>12</v>
      </c>
      <c r="U88" s="5" t="s">
        <v>538</v>
      </c>
      <c r="V88" s="4" t="s">
        <v>488</v>
      </c>
      <c r="W88" s="7" t="n">
        <v>76100</v>
      </c>
      <c r="X88" s="7" t="n">
        <v>354000</v>
      </c>
      <c r="Y88" s="6" t="n">
        <f aca="false">IF(OR(W88="",W88=0,X88=""),"",X88/W88)</f>
        <v>4.65177398160315</v>
      </c>
      <c r="Z88" s="4" t="n">
        <v>12</v>
      </c>
      <c r="AA88" s="8" t="s">
        <v>539</v>
      </c>
      <c r="AB88" s="9" t="s">
        <v>62</v>
      </c>
      <c r="AC88" s="10"/>
      <c r="AD88" s="4"/>
      <c r="AE88" s="11" t="n">
        <f aca="false">IF(AB88&lt;&gt;"Published",COUNTIF($AB$2:AB88,"&lt;&gt;Published"),"")</f>
        <v>87</v>
      </c>
    </row>
    <row r="89" customFormat="false" ht="39.55" hidden="false" customHeight="false" outlineLevel="0" collapsed="false">
      <c r="A89" s="4" t="n">
        <v>88</v>
      </c>
      <c r="B89" s="4" t="n">
        <f aca="false">ROUNDUP(A89/3,0)</f>
        <v>30</v>
      </c>
      <c r="C89" s="4" t="s">
        <v>340</v>
      </c>
      <c r="D89" s="4" t="s">
        <v>548</v>
      </c>
      <c r="E89" s="4" t="s">
        <v>50</v>
      </c>
      <c r="F89" s="5" t="s">
        <v>549</v>
      </c>
      <c r="G89" s="5" t="s">
        <v>550</v>
      </c>
      <c r="H89" s="4" t="s">
        <v>74</v>
      </c>
      <c r="I89" s="4" t="s">
        <v>54</v>
      </c>
      <c r="J89" s="4" t="s">
        <v>84</v>
      </c>
      <c r="K89" s="4" t="s">
        <v>56</v>
      </c>
      <c r="L89" s="4" t="s">
        <v>57</v>
      </c>
      <c r="M89" s="4" t="s">
        <v>67</v>
      </c>
      <c r="N89" s="4" t="n">
        <v>52</v>
      </c>
      <c r="O89" s="4" t="n">
        <v>23</v>
      </c>
      <c r="P89" s="4" t="n">
        <v>6</v>
      </c>
      <c r="Q89" s="4" t="n">
        <v>1</v>
      </c>
      <c r="R89" s="6" t="n">
        <v>10.46</v>
      </c>
      <c r="S89" s="6" t="n">
        <v>1.81</v>
      </c>
      <c r="T89" s="4" t="n">
        <v>6.5</v>
      </c>
      <c r="U89" s="5" t="s">
        <v>551</v>
      </c>
      <c r="V89" s="4" t="s">
        <v>129</v>
      </c>
      <c r="W89" s="7" t="n">
        <v>47500</v>
      </c>
      <c r="X89" s="7" t="n">
        <v>497000</v>
      </c>
      <c r="Y89" s="6" t="n">
        <f aca="false">IF(OR(W89="",W89=0,X89=""),"",X89/W89)</f>
        <v>10.4631578947368</v>
      </c>
      <c r="Z89" s="4" t="n">
        <v>18</v>
      </c>
      <c r="AA89" s="8" t="s">
        <v>552</v>
      </c>
      <c r="AB89" s="9" t="s">
        <v>62</v>
      </c>
      <c r="AC89" s="10"/>
      <c r="AD89" s="4"/>
      <c r="AE89" s="11" t="n">
        <f aca="false">IF(AB89&lt;&gt;"Published",COUNTIF($AB$2:AB89,"&lt;&gt;Published"),"")</f>
        <v>88</v>
      </c>
    </row>
    <row r="90" customFormat="false" ht="39.55" hidden="false" customHeight="false" outlineLevel="0" collapsed="false">
      <c r="A90" s="4" t="n">
        <v>89</v>
      </c>
      <c r="B90" s="4" t="n">
        <f aca="false">ROUNDUP(A90/3,0)</f>
        <v>30</v>
      </c>
      <c r="C90" s="4" t="s">
        <v>340</v>
      </c>
      <c r="D90" s="4" t="s">
        <v>553</v>
      </c>
      <c r="E90" s="4" t="s">
        <v>218</v>
      </c>
      <c r="F90" s="5" t="s">
        <v>554</v>
      </c>
      <c r="G90" s="5" t="s">
        <v>555</v>
      </c>
      <c r="H90" s="4" t="s">
        <v>53</v>
      </c>
      <c r="I90" s="4" t="s">
        <v>127</v>
      </c>
      <c r="J90" s="4" t="s">
        <v>535</v>
      </c>
      <c r="K90" s="4" t="s">
        <v>94</v>
      </c>
      <c r="L90" s="4" t="s">
        <v>381</v>
      </c>
      <c r="M90" s="4" t="s">
        <v>96</v>
      </c>
      <c r="N90" s="4" t="n">
        <v>0</v>
      </c>
      <c r="O90" s="4" t="n">
        <v>0</v>
      </c>
      <c r="P90" s="4" t="n">
        <v>0</v>
      </c>
      <c r="Q90" s="4" t="n">
        <v>0</v>
      </c>
      <c r="R90" s="6" t="n">
        <v>0</v>
      </c>
      <c r="S90" s="6" t="n">
        <v>0</v>
      </c>
      <c r="T90" s="4"/>
      <c r="U90" s="5"/>
      <c r="V90" s="4"/>
      <c r="W90" s="7"/>
      <c r="X90" s="7"/>
      <c r="Y90" s="6" t="str">
        <f aca="false">IF(OR(W90="",W90=0,X90=""),"",X90/W90)</f>
        <v/>
      </c>
      <c r="Z90" s="4"/>
      <c r="AA90" s="4"/>
      <c r="AB90" s="9" t="s">
        <v>62</v>
      </c>
      <c r="AC90" s="10"/>
      <c r="AD90" s="4"/>
      <c r="AE90" s="11" t="n">
        <f aca="false">IF(AB90&lt;&gt;"Published",COUNTIF($AB$2:AB90,"&lt;&gt;Published"),"")</f>
        <v>89</v>
      </c>
    </row>
    <row r="91" customFormat="false" ht="26.85" hidden="false" customHeight="false" outlineLevel="0" collapsed="false">
      <c r="A91" s="4" t="n">
        <v>90</v>
      </c>
      <c r="B91" s="4" t="n">
        <f aca="false">ROUNDUP(A91/3,0)</f>
        <v>30</v>
      </c>
      <c r="C91" s="4" t="s">
        <v>340</v>
      </c>
      <c r="D91" s="4" t="s">
        <v>556</v>
      </c>
      <c r="E91" s="4" t="s">
        <v>218</v>
      </c>
      <c r="F91" s="5" t="s">
        <v>557</v>
      </c>
      <c r="G91" s="5" t="s">
        <v>558</v>
      </c>
      <c r="H91" s="4" t="s">
        <v>53</v>
      </c>
      <c r="I91" s="4" t="s">
        <v>127</v>
      </c>
      <c r="J91" s="4" t="s">
        <v>393</v>
      </c>
      <c r="K91" s="4" t="s">
        <v>94</v>
      </c>
      <c r="L91" s="4" t="s">
        <v>57</v>
      </c>
      <c r="M91" s="4" t="s">
        <v>58</v>
      </c>
      <c r="N91" s="4" t="n">
        <v>11</v>
      </c>
      <c r="O91" s="4" t="n">
        <v>7</v>
      </c>
      <c r="P91" s="4" t="n">
        <v>4</v>
      </c>
      <c r="Q91" s="4" t="n">
        <v>1</v>
      </c>
      <c r="R91" s="6" t="n">
        <v>42.34</v>
      </c>
      <c r="S91" s="6" t="n">
        <v>3.85</v>
      </c>
      <c r="T91" s="4" t="n">
        <v>13</v>
      </c>
      <c r="U91" s="5" t="s">
        <v>559</v>
      </c>
      <c r="V91" s="4" t="s">
        <v>277</v>
      </c>
      <c r="W91" s="7" t="n">
        <v>5480</v>
      </c>
      <c r="X91" s="7" t="n">
        <v>232000</v>
      </c>
      <c r="Y91" s="6" t="n">
        <f aca="false">IF(OR(W91="",W91=0,X91=""),"",X91/W91)</f>
        <v>42.3357664233577</v>
      </c>
      <c r="Z91" s="4" t="n">
        <v>11</v>
      </c>
      <c r="AA91" s="8" t="s">
        <v>560</v>
      </c>
      <c r="AB91" s="9" t="s">
        <v>62</v>
      </c>
      <c r="AC91" s="10"/>
      <c r="AD91" s="4"/>
      <c r="AE91" s="11" t="n">
        <f aca="false">IF(AB91&lt;&gt;"Published",COUNTIF($AB$2:AB91,"&lt;&gt;Published"),"")</f>
        <v>90</v>
      </c>
    </row>
    <row r="92" customFormat="false" ht="26.85" hidden="false" customHeight="false" outlineLevel="0" collapsed="false">
      <c r="A92" s="4" t="n">
        <v>91</v>
      </c>
      <c r="B92" s="4" t="n">
        <f aca="false">ROUNDUP(A92/3,0)</f>
        <v>31</v>
      </c>
      <c r="C92" s="4" t="s">
        <v>561</v>
      </c>
      <c r="D92" s="4" t="s">
        <v>562</v>
      </c>
      <c r="E92" s="4" t="s">
        <v>218</v>
      </c>
      <c r="F92" s="5" t="s">
        <v>563</v>
      </c>
      <c r="G92" s="5" t="s">
        <v>564</v>
      </c>
      <c r="H92" s="4" t="s">
        <v>53</v>
      </c>
      <c r="I92" s="4" t="s">
        <v>54</v>
      </c>
      <c r="J92" s="4" t="s">
        <v>296</v>
      </c>
      <c r="K92" s="4" t="s">
        <v>94</v>
      </c>
      <c r="L92" s="4" t="s">
        <v>381</v>
      </c>
      <c r="M92" s="4" t="s">
        <v>96</v>
      </c>
      <c r="N92" s="4" t="n">
        <v>0</v>
      </c>
      <c r="O92" s="4" t="n">
        <v>0</v>
      </c>
      <c r="P92" s="4" t="n">
        <v>0</v>
      </c>
      <c r="Q92" s="4" t="n">
        <v>0</v>
      </c>
      <c r="R92" s="6" t="n">
        <v>0</v>
      </c>
      <c r="S92" s="6" t="n">
        <v>0</v>
      </c>
      <c r="T92" s="4"/>
      <c r="U92" s="5"/>
      <c r="V92" s="4"/>
      <c r="W92" s="7"/>
      <c r="X92" s="7"/>
      <c r="Y92" s="6" t="str">
        <f aca="false">IF(OR(W92="",W92=0,X92=""),"",X92/W92)</f>
        <v/>
      </c>
      <c r="Z92" s="4"/>
      <c r="AA92" s="4"/>
      <c r="AB92" s="9" t="s">
        <v>62</v>
      </c>
      <c r="AC92" s="10"/>
      <c r="AD92" s="4"/>
      <c r="AE92" s="11" t="n">
        <f aca="false">IF(AB92&lt;&gt;"Published",COUNTIF($AB$2:AB92,"&lt;&gt;Published"),"")</f>
        <v>91</v>
      </c>
    </row>
    <row r="93" customFormat="false" ht="26.85" hidden="false" customHeight="false" outlineLevel="0" collapsed="false">
      <c r="A93" s="4" t="n">
        <v>92</v>
      </c>
      <c r="B93" s="4" t="n">
        <f aca="false">ROUNDUP(A93/3,0)</f>
        <v>31</v>
      </c>
      <c r="C93" s="4" t="s">
        <v>561</v>
      </c>
      <c r="D93" s="4" t="s">
        <v>565</v>
      </c>
      <c r="E93" s="4" t="s">
        <v>218</v>
      </c>
      <c r="F93" s="5" t="s">
        <v>566</v>
      </c>
      <c r="G93" s="5" t="s">
        <v>567</v>
      </c>
      <c r="H93" s="4" t="s">
        <v>53</v>
      </c>
      <c r="I93" s="4" t="s">
        <v>127</v>
      </c>
      <c r="J93" s="4" t="s">
        <v>373</v>
      </c>
      <c r="K93" s="4" t="s">
        <v>94</v>
      </c>
      <c r="L93" s="4" t="s">
        <v>95</v>
      </c>
      <c r="M93" s="4" t="s">
        <v>96</v>
      </c>
      <c r="N93" s="4" t="n">
        <v>3</v>
      </c>
      <c r="O93" s="4" t="n">
        <v>3</v>
      </c>
      <c r="P93" s="4" t="n">
        <v>0</v>
      </c>
      <c r="Q93" s="4" t="n">
        <v>0</v>
      </c>
      <c r="R93" s="6" t="n">
        <v>0.79</v>
      </c>
      <c r="S93" s="6" t="n">
        <v>0.26</v>
      </c>
      <c r="T93" s="4"/>
      <c r="U93" s="5" t="s">
        <v>568</v>
      </c>
      <c r="V93" s="4" t="s">
        <v>517</v>
      </c>
      <c r="W93" s="7" t="n">
        <v>5070</v>
      </c>
      <c r="X93" s="7" t="n">
        <v>4000</v>
      </c>
      <c r="Y93" s="6" t="n">
        <f aca="false">IF(OR(W93="",W93=0,X93=""),"",X93/W93)</f>
        <v>0.788954635108481</v>
      </c>
      <c r="Z93" s="4" t="n">
        <v>3</v>
      </c>
      <c r="AA93" s="8" t="s">
        <v>569</v>
      </c>
      <c r="AB93" s="9" t="s">
        <v>62</v>
      </c>
      <c r="AC93" s="10"/>
      <c r="AD93" s="4"/>
      <c r="AE93" s="11" t="n">
        <f aca="false">IF(AB93&lt;&gt;"Published",COUNTIF($AB$2:AB93,"&lt;&gt;Published"),"")</f>
        <v>92</v>
      </c>
    </row>
    <row r="94" customFormat="false" ht="39.55" hidden="false" customHeight="false" outlineLevel="0" collapsed="false">
      <c r="A94" s="4" t="n">
        <v>93</v>
      </c>
      <c r="B94" s="4" t="n">
        <f aca="false">ROUNDUP(A94/3,0)</f>
        <v>31</v>
      </c>
      <c r="C94" s="4" t="s">
        <v>561</v>
      </c>
      <c r="D94" s="4" t="s">
        <v>570</v>
      </c>
      <c r="E94" s="4" t="s">
        <v>218</v>
      </c>
      <c r="F94" s="5" t="s">
        <v>571</v>
      </c>
      <c r="G94" s="5" t="s">
        <v>572</v>
      </c>
      <c r="H94" s="4" t="s">
        <v>74</v>
      </c>
      <c r="I94" s="4" t="s">
        <v>127</v>
      </c>
      <c r="J94" s="4" t="s">
        <v>217</v>
      </c>
      <c r="K94" s="4" t="s">
        <v>94</v>
      </c>
      <c r="L94" s="4" t="s">
        <v>115</v>
      </c>
      <c r="M94" s="4" t="s">
        <v>58</v>
      </c>
      <c r="N94" s="4" t="n">
        <v>89</v>
      </c>
      <c r="O94" s="4" t="n">
        <v>5</v>
      </c>
      <c r="P94" s="4" t="n">
        <v>13</v>
      </c>
      <c r="Q94" s="4" t="n">
        <v>0</v>
      </c>
      <c r="R94" s="6" t="n">
        <v>10.43</v>
      </c>
      <c r="S94" s="6" t="n">
        <v>0.97</v>
      </c>
      <c r="T94" s="4" t="n">
        <v>13</v>
      </c>
      <c r="U94" s="5" t="s">
        <v>573</v>
      </c>
      <c r="V94" s="4" t="s">
        <v>488</v>
      </c>
      <c r="W94" s="7" t="n">
        <v>76100</v>
      </c>
      <c r="X94" s="7" t="n">
        <v>794000</v>
      </c>
      <c r="Y94" s="6" t="n">
        <f aca="false">IF(OR(W94="",W94=0,X94=""),"",X94/W94)</f>
        <v>10.4336399474376</v>
      </c>
      <c r="Z94" s="4" t="n">
        <v>13</v>
      </c>
      <c r="AA94" s="8" t="s">
        <v>574</v>
      </c>
      <c r="AB94" s="9" t="s">
        <v>62</v>
      </c>
      <c r="AC94" s="10"/>
      <c r="AD94" s="4"/>
      <c r="AE94" s="11" t="n">
        <f aca="false">IF(AB94&lt;&gt;"Published",COUNTIF($AB$2:AB94,"&lt;&gt;Published"),"")</f>
        <v>93</v>
      </c>
    </row>
    <row r="95" customFormat="false" ht="26.85" hidden="false" customHeight="false" outlineLevel="0" collapsed="false">
      <c r="A95" s="4" t="n">
        <v>94</v>
      </c>
      <c r="B95" s="4" t="n">
        <f aca="false">ROUNDUP(A95/3,0)</f>
        <v>32</v>
      </c>
      <c r="C95" s="4" t="s">
        <v>561</v>
      </c>
      <c r="D95" s="4" t="s">
        <v>575</v>
      </c>
      <c r="E95" s="4" t="s">
        <v>218</v>
      </c>
      <c r="F95" s="5" t="s">
        <v>576</v>
      </c>
      <c r="G95" s="5" t="s">
        <v>577</v>
      </c>
      <c r="H95" s="4" t="s">
        <v>53</v>
      </c>
      <c r="I95" s="4" t="s">
        <v>127</v>
      </c>
      <c r="J95" s="4" t="s">
        <v>425</v>
      </c>
      <c r="K95" s="4" t="s">
        <v>94</v>
      </c>
      <c r="L95" s="4" t="s">
        <v>95</v>
      </c>
      <c r="M95" s="4" t="s">
        <v>96</v>
      </c>
      <c r="N95" s="4" t="n">
        <v>1</v>
      </c>
      <c r="O95" s="4" t="n">
        <v>1</v>
      </c>
      <c r="P95" s="4" t="n">
        <v>0</v>
      </c>
      <c r="Q95" s="4" t="n">
        <v>0</v>
      </c>
      <c r="R95" s="6" t="n">
        <v>0.03</v>
      </c>
      <c r="S95" s="6" t="n">
        <v>0</v>
      </c>
      <c r="T95" s="4"/>
      <c r="U95" s="5" t="s">
        <v>578</v>
      </c>
      <c r="V95" s="4" t="s">
        <v>215</v>
      </c>
      <c r="W95" s="7" t="n">
        <v>34000</v>
      </c>
      <c r="X95" s="7" t="n">
        <v>1000</v>
      </c>
      <c r="Y95" s="6" t="n">
        <f aca="false">IF(OR(W95="",W95=0,X95=""),"",X95/W95)</f>
        <v>0.0294117647058824</v>
      </c>
      <c r="Z95" s="4" t="n">
        <v>8</v>
      </c>
      <c r="AA95" s="8" t="s">
        <v>579</v>
      </c>
      <c r="AB95" s="9" t="s">
        <v>62</v>
      </c>
      <c r="AC95" s="10"/>
      <c r="AD95" s="4"/>
      <c r="AE95" s="11" t="n">
        <f aca="false">IF(AB95&lt;&gt;"Published",COUNTIF($AB$2:AB95,"&lt;&gt;Published"),"")</f>
        <v>94</v>
      </c>
    </row>
    <row r="96" customFormat="false" ht="39.55" hidden="false" customHeight="false" outlineLevel="0" collapsed="false">
      <c r="A96" s="4" t="n">
        <v>95</v>
      </c>
      <c r="B96" s="4" t="n">
        <f aca="false">ROUNDUP(A96/3,0)</f>
        <v>32</v>
      </c>
      <c r="C96" s="4" t="s">
        <v>561</v>
      </c>
      <c r="D96" s="4" t="s">
        <v>580</v>
      </c>
      <c r="E96" s="4" t="s">
        <v>218</v>
      </c>
      <c r="F96" s="5" t="s">
        <v>581</v>
      </c>
      <c r="G96" s="5" t="s">
        <v>582</v>
      </c>
      <c r="H96" s="4" t="s">
        <v>53</v>
      </c>
      <c r="I96" s="4" t="s">
        <v>54</v>
      </c>
      <c r="J96" s="4" t="s">
        <v>296</v>
      </c>
      <c r="K96" s="4" t="s">
        <v>94</v>
      </c>
      <c r="L96" s="4" t="s">
        <v>381</v>
      </c>
      <c r="M96" s="4" t="s">
        <v>96</v>
      </c>
      <c r="N96" s="4" t="n">
        <v>0</v>
      </c>
      <c r="O96" s="4" t="n">
        <v>0</v>
      </c>
      <c r="P96" s="4" t="n">
        <v>0</v>
      </c>
      <c r="Q96" s="4" t="n">
        <v>0</v>
      </c>
      <c r="R96" s="6" t="n">
        <v>0</v>
      </c>
      <c r="S96" s="6" t="n">
        <v>0</v>
      </c>
      <c r="T96" s="4"/>
      <c r="U96" s="5"/>
      <c r="V96" s="4"/>
      <c r="W96" s="7"/>
      <c r="X96" s="7"/>
      <c r="Y96" s="6" t="str">
        <f aca="false">IF(OR(W96="",W96=0,X96=""),"",X96/W96)</f>
        <v/>
      </c>
      <c r="Z96" s="4"/>
      <c r="AA96" s="4"/>
      <c r="AB96" s="9" t="s">
        <v>62</v>
      </c>
      <c r="AC96" s="10"/>
      <c r="AD96" s="4"/>
      <c r="AE96" s="11" t="n">
        <f aca="false">IF(AB96&lt;&gt;"Published",COUNTIF($AB$2:AB96,"&lt;&gt;Published"),"")</f>
        <v>95</v>
      </c>
    </row>
    <row r="97" customFormat="false" ht="26.85" hidden="false" customHeight="false" outlineLevel="0" collapsed="false">
      <c r="A97" s="4" t="n">
        <v>96</v>
      </c>
      <c r="B97" s="4" t="n">
        <f aca="false">ROUNDUP(A97/3,0)</f>
        <v>32</v>
      </c>
      <c r="C97" s="4" t="s">
        <v>561</v>
      </c>
      <c r="D97" s="4" t="s">
        <v>583</v>
      </c>
      <c r="E97" s="4" t="s">
        <v>218</v>
      </c>
      <c r="F97" s="5" t="s">
        <v>584</v>
      </c>
      <c r="G97" s="5" t="s">
        <v>585</v>
      </c>
      <c r="H97" s="4" t="s">
        <v>53</v>
      </c>
      <c r="I97" s="4" t="s">
        <v>54</v>
      </c>
      <c r="J97" s="4" t="s">
        <v>296</v>
      </c>
      <c r="K97" s="4" t="s">
        <v>94</v>
      </c>
      <c r="L97" s="4" t="s">
        <v>95</v>
      </c>
      <c r="M97" s="4" t="s">
        <v>96</v>
      </c>
      <c r="N97" s="4" t="n">
        <v>7</v>
      </c>
      <c r="O97" s="4" t="n">
        <v>5</v>
      </c>
      <c r="P97" s="4" t="n">
        <v>0</v>
      </c>
      <c r="Q97" s="4" t="n">
        <v>0</v>
      </c>
      <c r="R97" s="6" t="n">
        <v>0.4</v>
      </c>
      <c r="S97" s="6" t="n">
        <v>0.05</v>
      </c>
      <c r="T97" s="4"/>
      <c r="U97" s="5" t="s">
        <v>586</v>
      </c>
      <c r="V97" s="4" t="s">
        <v>146</v>
      </c>
      <c r="W97" s="7" t="n">
        <v>37100</v>
      </c>
      <c r="X97" s="7" t="n">
        <v>15000</v>
      </c>
      <c r="Y97" s="6" t="n">
        <f aca="false">IF(OR(W97="",W97=0,X97=""),"",X97/W97)</f>
        <v>0.404312668463612</v>
      </c>
      <c r="Z97" s="4" t="n">
        <v>8</v>
      </c>
      <c r="AA97" s="8" t="s">
        <v>587</v>
      </c>
      <c r="AB97" s="9" t="s">
        <v>62</v>
      </c>
      <c r="AC97" s="10"/>
      <c r="AD97" s="4"/>
      <c r="AE97" s="11" t="n">
        <f aca="false">IF(AB97&lt;&gt;"Published",COUNTIF($AB$2:AB97,"&lt;&gt;Published"),"")</f>
        <v>96</v>
      </c>
    </row>
    <row r="98" customFormat="false" ht="15" hidden="false" customHeight="false" outlineLevel="0" collapsed="false">
      <c r="A98" s="4" t="n">
        <v>97</v>
      </c>
      <c r="B98" s="4" t="n">
        <f aca="false">ROUNDUP(A98/3,0)</f>
        <v>33</v>
      </c>
      <c r="C98" s="4" t="s">
        <v>561</v>
      </c>
      <c r="D98" s="4" t="s">
        <v>588</v>
      </c>
      <c r="E98" s="4" t="s">
        <v>416</v>
      </c>
      <c r="F98" s="5" t="s">
        <v>589</v>
      </c>
      <c r="G98" s="5" t="s">
        <v>590</v>
      </c>
      <c r="H98" s="4" t="s">
        <v>53</v>
      </c>
      <c r="I98" s="4" t="s">
        <v>127</v>
      </c>
      <c r="J98" s="4" t="s">
        <v>49</v>
      </c>
      <c r="K98" s="4" t="s">
        <v>591</v>
      </c>
      <c r="L98" s="4" t="s">
        <v>95</v>
      </c>
      <c r="M98" s="4" t="s">
        <v>96</v>
      </c>
      <c r="N98" s="4" t="n">
        <v>1</v>
      </c>
      <c r="O98" s="4" t="n">
        <v>1</v>
      </c>
      <c r="P98" s="4" t="n">
        <v>0</v>
      </c>
      <c r="Q98" s="4" t="n">
        <v>0</v>
      </c>
      <c r="R98" s="6" t="n">
        <v>0.23</v>
      </c>
      <c r="S98" s="6" t="n">
        <v>0.06</v>
      </c>
      <c r="T98" s="4"/>
      <c r="U98" s="5" t="s">
        <v>592</v>
      </c>
      <c r="V98" s="4" t="s">
        <v>593</v>
      </c>
      <c r="W98" s="7" t="n">
        <v>115000</v>
      </c>
      <c r="X98" s="7" t="n">
        <v>27000</v>
      </c>
      <c r="Y98" s="6" t="n">
        <f aca="false">IF(OR(W98="",W98=0,X98=""),"",X98/W98)</f>
        <v>0.234782608695652</v>
      </c>
      <c r="Z98" s="4" t="n">
        <v>4</v>
      </c>
      <c r="AA98" s="8" t="s">
        <v>594</v>
      </c>
      <c r="AB98" s="9" t="s">
        <v>62</v>
      </c>
      <c r="AC98" s="10"/>
      <c r="AD98" s="4"/>
      <c r="AE98" s="11" t="n">
        <f aca="false">IF(AB98&lt;&gt;"Published",COUNTIF($AB$2:AB98,"&lt;&gt;Published"),"")</f>
        <v>97</v>
      </c>
    </row>
    <row r="99" customFormat="false" ht="26.85" hidden="false" customHeight="false" outlineLevel="0" collapsed="false">
      <c r="A99" s="4" t="n">
        <v>98</v>
      </c>
      <c r="B99" s="4" t="n">
        <f aca="false">ROUNDUP(A99/3,0)</f>
        <v>33</v>
      </c>
      <c r="C99" s="4" t="s">
        <v>561</v>
      </c>
      <c r="D99" s="4" t="s">
        <v>595</v>
      </c>
      <c r="E99" s="4" t="s">
        <v>416</v>
      </c>
      <c r="F99" s="5" t="s">
        <v>596</v>
      </c>
      <c r="G99" s="5" t="s">
        <v>597</v>
      </c>
      <c r="H99" s="4" t="s">
        <v>53</v>
      </c>
      <c r="I99" s="4" t="s">
        <v>598</v>
      </c>
      <c r="J99" s="4" t="s">
        <v>104</v>
      </c>
      <c r="K99" s="4" t="s">
        <v>94</v>
      </c>
      <c r="L99" s="4" t="s">
        <v>95</v>
      </c>
      <c r="M99" s="4" t="s">
        <v>96</v>
      </c>
      <c r="N99" s="4" t="n">
        <v>1</v>
      </c>
      <c r="O99" s="4" t="n">
        <v>1</v>
      </c>
      <c r="P99" s="4" t="n">
        <v>0</v>
      </c>
      <c r="Q99" s="4" t="n">
        <v>0</v>
      </c>
      <c r="R99" s="6" t="n">
        <v>0.05</v>
      </c>
      <c r="S99" s="6" t="n">
        <v>0.01</v>
      </c>
      <c r="T99" s="4"/>
      <c r="U99" s="5" t="s">
        <v>599</v>
      </c>
      <c r="V99" s="4" t="s">
        <v>600</v>
      </c>
      <c r="W99" s="7" t="n">
        <v>68800</v>
      </c>
      <c r="X99" s="7" t="n">
        <v>3600</v>
      </c>
      <c r="Y99" s="6" t="n">
        <f aca="false">IF(OR(W99="",W99=0,X99=""),"",X99/W99)</f>
        <v>0.0523255813953488</v>
      </c>
      <c r="Z99" s="4" t="n">
        <v>5</v>
      </c>
      <c r="AA99" s="8" t="s">
        <v>601</v>
      </c>
      <c r="AB99" s="9" t="s">
        <v>62</v>
      </c>
      <c r="AC99" s="10"/>
      <c r="AD99" s="4"/>
      <c r="AE99" s="11" t="n">
        <f aca="false">IF(AB99&lt;&gt;"Published",COUNTIF($AB$2:AB99,"&lt;&gt;Published"),"")</f>
        <v>98</v>
      </c>
    </row>
    <row r="100" customFormat="false" ht="26.85" hidden="false" customHeight="false" outlineLevel="0" collapsed="false">
      <c r="A100" s="4" t="n">
        <v>99</v>
      </c>
      <c r="B100" s="4" t="n">
        <f aca="false">ROUNDUP(A100/3,0)</f>
        <v>33</v>
      </c>
      <c r="C100" s="4" t="s">
        <v>561</v>
      </c>
      <c r="D100" s="4" t="s">
        <v>602</v>
      </c>
      <c r="E100" s="4" t="s">
        <v>218</v>
      </c>
      <c r="F100" s="5" t="s">
        <v>603</v>
      </c>
      <c r="G100" s="5" t="s">
        <v>604</v>
      </c>
      <c r="H100" s="4" t="s">
        <v>228</v>
      </c>
      <c r="I100" s="4" t="s">
        <v>229</v>
      </c>
      <c r="J100" s="4" t="s">
        <v>605</v>
      </c>
      <c r="K100" s="4" t="s">
        <v>94</v>
      </c>
      <c r="L100" s="4" t="s">
        <v>57</v>
      </c>
      <c r="M100" s="4" t="s">
        <v>58</v>
      </c>
      <c r="N100" s="4" t="n">
        <v>6</v>
      </c>
      <c r="O100" s="4" t="n">
        <v>5</v>
      </c>
      <c r="P100" s="4" t="n">
        <v>3</v>
      </c>
      <c r="Q100" s="4" t="n">
        <v>1</v>
      </c>
      <c r="R100" s="6" t="n">
        <v>31.96</v>
      </c>
      <c r="S100" s="6" t="n">
        <v>2.46</v>
      </c>
      <c r="T100" s="4" t="n">
        <v>13</v>
      </c>
      <c r="U100" s="5" t="s">
        <v>606</v>
      </c>
      <c r="V100" s="4" t="s">
        <v>223</v>
      </c>
      <c r="W100" s="7" t="n">
        <v>28100</v>
      </c>
      <c r="X100" s="7" t="n">
        <v>898000</v>
      </c>
      <c r="Y100" s="6" t="n">
        <f aca="false">IF(OR(W100="",W100=0,X100=""),"",X100/W100)</f>
        <v>31.9572953736655</v>
      </c>
      <c r="Z100" s="4" t="n">
        <v>13</v>
      </c>
      <c r="AA100" s="8" t="s">
        <v>607</v>
      </c>
      <c r="AB100" s="9" t="s">
        <v>62</v>
      </c>
      <c r="AC100" s="10"/>
      <c r="AD100" s="4"/>
      <c r="AE100" s="11" t="n">
        <f aca="false">IF(AB100&lt;&gt;"Published",COUNTIF($AB$2:AB100,"&lt;&gt;Published"),"")</f>
        <v>99</v>
      </c>
    </row>
    <row r="101" customFormat="false" ht="26.85" hidden="false" customHeight="false" outlineLevel="0" collapsed="false">
      <c r="A101" s="4" t="n">
        <v>100</v>
      </c>
      <c r="B101" s="4" t="n">
        <f aca="false">ROUNDUP(A101/3,0)</f>
        <v>34</v>
      </c>
      <c r="C101" s="4" t="s">
        <v>561</v>
      </c>
      <c r="D101" s="4" t="s">
        <v>608</v>
      </c>
      <c r="E101" s="4" t="s">
        <v>416</v>
      </c>
      <c r="F101" s="5" t="s">
        <v>609</v>
      </c>
      <c r="G101" s="5" t="s">
        <v>610</v>
      </c>
      <c r="H101" s="4" t="s">
        <v>228</v>
      </c>
      <c r="I101" s="4" t="s">
        <v>611</v>
      </c>
      <c r="J101" s="4" t="s">
        <v>612</v>
      </c>
      <c r="K101" s="4" t="s">
        <v>94</v>
      </c>
      <c r="L101" s="4" t="s">
        <v>57</v>
      </c>
      <c r="M101" s="4" t="s">
        <v>231</v>
      </c>
      <c r="N101" s="4" t="n">
        <v>1</v>
      </c>
      <c r="O101" s="4" t="n">
        <v>1</v>
      </c>
      <c r="P101" s="4" t="n">
        <v>1</v>
      </c>
      <c r="Q101" s="4" t="n">
        <v>1</v>
      </c>
      <c r="R101" s="6" t="n">
        <v>21.38</v>
      </c>
      <c r="S101" s="6" t="n">
        <v>21.38</v>
      </c>
      <c r="T101" s="4" t="n">
        <v>1</v>
      </c>
      <c r="U101" s="5" t="s">
        <v>232</v>
      </c>
      <c r="V101" s="4" t="s">
        <v>233</v>
      </c>
      <c r="W101" s="7" t="n">
        <v>145000</v>
      </c>
      <c r="X101" s="7" t="n">
        <v>3100000</v>
      </c>
      <c r="Y101" s="6" t="n">
        <f aca="false">IF(OR(W101="",W101=0,X101=""),"",X101/W101)</f>
        <v>21.3793103448276</v>
      </c>
      <c r="Z101" s="4" t="n">
        <v>1</v>
      </c>
      <c r="AA101" s="8" t="s">
        <v>234</v>
      </c>
      <c r="AB101" s="9" t="s">
        <v>62</v>
      </c>
      <c r="AC101" s="10"/>
      <c r="AD101" s="4"/>
      <c r="AE101" s="11" t="n">
        <f aca="false">IF(AB101&lt;&gt;"Published",COUNTIF($AB$2:AB101,"&lt;&gt;Published"),"")</f>
        <v>100</v>
      </c>
    </row>
  </sheetData>
  <autoFilter ref="A1:AD101"/>
  <conditionalFormatting sqref="L2:L101">
    <cfRule type="cellIs" priority="2" operator="equal" aboveAverage="0" equalAverage="0" bottom="0" percent="0" rank="0" text="" dxfId="9">
      <formula>"High"</formula>
    </cfRule>
    <cfRule type="cellIs" priority="3" operator="equal" aboveAverage="0" equalAverage="0" bottom="0" percent="0" rank="0" text="" dxfId="10">
      <formula>"Medium"</formula>
    </cfRule>
    <cfRule type="cellIs" priority="4" operator="equal" aboveAverage="0" equalAverage="0" bottom="0" percent="0" rank="0" text="" dxfId="11">
      <formula>"Low"</formula>
    </cfRule>
  </conditionalFormatting>
  <conditionalFormatting sqref="M2:M101">
    <cfRule type="cellIs" priority="5" operator="equal" aboveAverage="0" equalAverage="0" bottom="0" percent="0" rank="0" text="" dxfId="12">
      <formula>"Stale (median outlier age 8y+)"</formula>
    </cfRule>
  </conditionalFormatting>
  <conditionalFormatting sqref="AB2:AB101">
    <cfRule type="cellIs" priority="6" operator="equal" aboveAverage="0" equalAverage="0" bottom="0" percent="0" rank="0" text="" dxfId="9">
      <formula>"Published"</formula>
    </cfRule>
  </conditionalFormatting>
  <dataValidations count="1">
    <dataValidation allowBlank="true" errorStyle="stop" operator="between" showDropDown="false" showErrorMessage="false" showInputMessage="false" sqref="AB2:AB101" type="list">
      <formula1>"Planned,Scripted,Audio done,Rendered,Published"</formula1>
      <formula2>0</formula2>
    </dataValidation>
  </dataValidations>
  <hyperlinks>
    <hyperlink ref="AA2" r:id="rId1" display="https://youtu.be/op70yS_7du8"/>
    <hyperlink ref="AA3" r:id="rId2" display="https://youtu.be/mgtVQQALWQI"/>
    <hyperlink ref="AA4" r:id="rId3" display="https://youtu.be/-2xh2Fz_XNo"/>
    <hyperlink ref="AA5" r:id="rId4" display="https://youtu.be/6xJe_oJybDs"/>
    <hyperlink ref="AA6" r:id="rId5" display="https://youtu.be/VZrNbHCkv6A"/>
    <hyperlink ref="AA7" r:id="rId6" display="https://youtu.be/QVlb4ciaKyA"/>
    <hyperlink ref="AA8" r:id="rId7" display="https://youtu.be/0hBIwRqTwmY"/>
    <hyperlink ref="AA9" r:id="rId8" display="https://youtu.be/aywhE3BpJOs"/>
    <hyperlink ref="AA10" r:id="rId9" display="https://youtu.be/a2iKaTqgrxs"/>
    <hyperlink ref="AA11" r:id="rId10" display="https://youtu.be/s5PFwvwNKiY"/>
    <hyperlink ref="AA12" r:id="rId11" display="https://youtu.be/P_N2hr9aMow"/>
    <hyperlink ref="AA13" r:id="rId12" display="https://youtu.be/GDdM_MWh6xY"/>
    <hyperlink ref="AA14" r:id="rId13" display="https://youtu.be/VRC-DVqKYCE"/>
    <hyperlink ref="AA15" r:id="rId14" display="https://youtu.be/0bQh3J82edU"/>
    <hyperlink ref="AA16" r:id="rId15" display="https://youtu.be/R-VCNJKsvwg"/>
    <hyperlink ref="AA17" r:id="rId16" display="https://youtu.be/2j780pByEeI"/>
    <hyperlink ref="AA18" r:id="rId17" display="https://youtu.be/jEdU6wizLF0"/>
    <hyperlink ref="AA19" r:id="rId18" display="https://youtu.be/3FudpA_fCGQ"/>
    <hyperlink ref="AA20" r:id="rId19" display="https://youtu.be/DRLS86XfHLg"/>
    <hyperlink ref="AA21" r:id="rId20" display="https://youtu.be/3zAvyTKj5-0"/>
    <hyperlink ref="AA22" r:id="rId21" display="https://youtu.be/3-j-rZ6hz74"/>
    <hyperlink ref="AA23" r:id="rId22" display="https://youtu.be/pAX7mR4ii5Y"/>
    <hyperlink ref="AA24" r:id="rId23" display="https://youtu.be/URIjtaP6SPk"/>
    <hyperlink ref="AA25" r:id="rId24" display="https://youtu.be/pAX7mR4ii5Y"/>
    <hyperlink ref="AA26" r:id="rId25" display="https://youtu.be/rYsNHYgIUL4"/>
    <hyperlink ref="AA27" r:id="rId26" display="https://youtu.be/Q3hoC8lDCBo"/>
    <hyperlink ref="AA28" r:id="rId27" display="https://youtu.be/3Y1WpytiHKE"/>
    <hyperlink ref="AA29" r:id="rId28" display="https://youtu.be/8tAPsX0YuNE"/>
    <hyperlink ref="AA30" r:id="rId29" display="https://youtu.be/NngM_qdDMm8"/>
    <hyperlink ref="AA31" r:id="rId30" display="https://youtu.be/8ioYb2DZdbo"/>
    <hyperlink ref="AA32" r:id="rId31" display="https://youtu.be/xP4y2m16NH8"/>
    <hyperlink ref="AA33" r:id="rId32" display="https://youtu.be/3EOlRF7EjKU"/>
    <hyperlink ref="AA34" r:id="rId33" display="https://youtu.be/8tAPsX0YuNE"/>
    <hyperlink ref="AA35" r:id="rId34" display="https://youtu.be/krUu_u63MiA"/>
    <hyperlink ref="AA36" r:id="rId35" display="https://youtu.be/-Fk_2iRfC18"/>
    <hyperlink ref="AA37" r:id="rId36" display="https://youtu.be/sCKRV8Yps-Y"/>
    <hyperlink ref="AA38" r:id="rId37" display="https://youtu.be/o86xvmUYo-Q"/>
    <hyperlink ref="AA39" r:id="rId38" display="https://youtu.be/XG6jWY0SvC0"/>
    <hyperlink ref="AA40" r:id="rId39" display="https://youtu.be/IMkLAP_aj3I"/>
    <hyperlink ref="AA41" r:id="rId40" display="https://youtu.be/0Hk59luySfg"/>
    <hyperlink ref="AA42" r:id="rId41" display="https://youtu.be/17nWWWUrUcg"/>
    <hyperlink ref="AA43" r:id="rId42" display="https://youtu.be/LeScGp91xfs"/>
    <hyperlink ref="AA44" r:id="rId43" display="https://youtu.be/kF1c8ujpTYY"/>
    <hyperlink ref="AA45" r:id="rId44" display="https://youtu.be/DAF81UKWCOI"/>
    <hyperlink ref="AA46" r:id="rId45" display="https://youtu.be/dTTFzBlpdKA"/>
    <hyperlink ref="AA47" r:id="rId46" display="https://youtu.be/VQEPk_SIYT0"/>
    <hyperlink ref="AA48" r:id="rId47" display="https://youtu.be/IZ1iAYhQnwg"/>
    <hyperlink ref="AA49" r:id="rId48" display="https://youtu.be/JKRBpJZ92QM"/>
    <hyperlink ref="AA50" r:id="rId49" display="https://youtu.be/S49oKtISkqI"/>
    <hyperlink ref="AA51" r:id="rId50" display="https://youtu.be/DMzBRYqAHrE"/>
    <hyperlink ref="AA52" r:id="rId51" display="https://youtu.be/NZCSt9WkpkI"/>
    <hyperlink ref="AA53" r:id="rId52" display="https://youtu.be/A0sR5pz69IE"/>
    <hyperlink ref="AA54" r:id="rId53" display="https://youtu.be/An_2r6Ae_28"/>
    <hyperlink ref="AA55" r:id="rId54" display="https://youtu.be/U7K2OTQj4ZQ"/>
    <hyperlink ref="AA56" r:id="rId55" display="https://youtu.be/oJgGuRG_lNY"/>
    <hyperlink ref="AA58" r:id="rId56" display="https://youtu.be/LMCODkeeDtE"/>
    <hyperlink ref="AA59" r:id="rId57" display="https://youtu.be/L6KmmdVISj4"/>
    <hyperlink ref="AA60" r:id="rId58" display="https://youtu.be/UB1A62u9fBE"/>
    <hyperlink ref="AA61" r:id="rId59" display="https://youtu.be/g35WfYYFKRc"/>
    <hyperlink ref="AA62" r:id="rId60" display="https://youtu.be/YrnqUPW96lY"/>
    <hyperlink ref="AA63" r:id="rId61" display="https://youtu.be/xXNrloLHOzI"/>
    <hyperlink ref="AA64" r:id="rId62" display="https://youtu.be/4D_36i4zVFs"/>
    <hyperlink ref="AA65" r:id="rId63" display="https://youtu.be/J7q2H8aB8bQ"/>
    <hyperlink ref="AA66" r:id="rId64" display="https://youtu.be/vQgjpRQ5wxI"/>
    <hyperlink ref="AA67" r:id="rId65" display="https://youtu.be/XG6jWY0SvC0"/>
    <hyperlink ref="AA68" r:id="rId66" display="https://youtu.be/FSs0OZCzPlA"/>
    <hyperlink ref="AA69" r:id="rId67" display="https://youtu.be/FQ3d2syNfYI"/>
    <hyperlink ref="AA70" r:id="rId68" display="https://youtu.be/o49kET4Jb0c"/>
    <hyperlink ref="AA71" r:id="rId69" display="https://youtu.be/4V1ncb2nCG0"/>
    <hyperlink ref="AA72" r:id="rId70" display="https://youtu.be/mVdrKbwal9k"/>
    <hyperlink ref="AA73" r:id="rId71" display="https://youtu.be/tWRsYWSP3fM"/>
    <hyperlink ref="AA74" r:id="rId72" display="https://youtu.be/ZbFkPoklBPw"/>
    <hyperlink ref="AA75" r:id="rId73" display="https://youtu.be/EsYDVW2na7c"/>
    <hyperlink ref="AA76" r:id="rId74" display="https://youtu.be/wPnvZ8tKA74"/>
    <hyperlink ref="AA77" r:id="rId75" display="https://youtu.be/TBV9QFMJqoE"/>
    <hyperlink ref="AA78" r:id="rId76" display="https://youtu.be/Q1DVAFRuAtI"/>
    <hyperlink ref="AA79" r:id="rId77" display="https://youtu.be/tLnA0AO2lXA"/>
    <hyperlink ref="AA80" r:id="rId78" display="https://youtu.be/to0I0kS8FcU"/>
    <hyperlink ref="AA81" r:id="rId79" display="https://youtu.be/HiJjJL-39e0"/>
    <hyperlink ref="AA82" r:id="rId80" display="https://youtu.be/WOtVrPWvhcM"/>
    <hyperlink ref="AA83" r:id="rId81" display="https://youtu.be/39QhA4qCOec"/>
    <hyperlink ref="AA84" r:id="rId82" display="https://youtu.be/1cFYlMjEz-c"/>
    <hyperlink ref="AA85" r:id="rId83" display="https://youtu.be/Bjg-KPQhWyM"/>
    <hyperlink ref="AA86" r:id="rId84" display="https://youtu.be/Y2khrpVo6qI"/>
    <hyperlink ref="AA87" r:id="rId85" display="https://youtu.be/Cb5rAZZSJfg"/>
    <hyperlink ref="AA88" r:id="rId86" display="https://youtu.be/Y2khrpVo6qI"/>
    <hyperlink ref="AA89" r:id="rId87" display="https://youtu.be/Pd_qs8ueIWw"/>
    <hyperlink ref="AA91" r:id="rId88" display="https://youtu.be/ACVyPp1Fy6Y"/>
    <hyperlink ref="AA93" r:id="rId89" display="https://youtu.be/jVkQPnARPQ0"/>
    <hyperlink ref="AA94" r:id="rId90" display="https://youtu.be/YMt5K68ZvjQ"/>
    <hyperlink ref="AA95" r:id="rId91" display="https://youtu.be/puZvQPudk6E"/>
    <hyperlink ref="AA97" r:id="rId92" display="https://youtu.be/MbQ4s8lwqGI"/>
    <hyperlink ref="AA98" r:id="rId93" display="https://youtu.be/RfS11SRQC20"/>
    <hyperlink ref="AA99" r:id="rId94" display="https://youtu.be/WF4jfq-ny_Q"/>
    <hyperlink ref="AA100" r:id="rId95" display="https://youtu.be/vEP4RIOKuE4"/>
    <hyperlink ref="AA101" r:id="rId96" display="https://youtu.be/NngM_qdDMm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5" min="2" style="0" width="52"/>
  </cols>
  <sheetData>
    <row r="1" customFormat="false" ht="15" hidden="false" customHeight="false" outlineLevel="0" collapsed="false">
      <c r="A1" s="3" t="s">
        <v>18</v>
      </c>
      <c r="B1" s="3" t="s">
        <v>19</v>
      </c>
      <c r="C1" s="3" t="s">
        <v>613</v>
      </c>
      <c r="D1" s="3" t="s">
        <v>614</v>
      </c>
      <c r="E1" s="3" t="s">
        <v>615</v>
      </c>
    </row>
    <row r="2" customFormat="false" ht="26.85" hidden="false" customHeight="false" outlineLevel="0" collapsed="false">
      <c r="A2" s="4" t="n">
        <v>1</v>
      </c>
      <c r="B2" s="4" t="s">
        <v>48</v>
      </c>
      <c r="C2" s="5" t="s">
        <v>616</v>
      </c>
      <c r="D2" s="5" t="s">
        <v>617</v>
      </c>
      <c r="E2" s="5" t="s">
        <v>618</v>
      </c>
    </row>
    <row r="3" customFormat="false" ht="26.85" hidden="false" customHeight="false" outlineLevel="0" collapsed="false">
      <c r="A3" s="4" t="n">
        <v>2</v>
      </c>
      <c r="B3" s="4" t="s">
        <v>48</v>
      </c>
      <c r="C3" s="5" t="s">
        <v>619</v>
      </c>
      <c r="D3" s="5" t="s">
        <v>620</v>
      </c>
      <c r="E3" s="5" t="s">
        <v>621</v>
      </c>
    </row>
    <row r="4" customFormat="false" ht="26.85" hidden="false" customHeight="false" outlineLevel="0" collapsed="false">
      <c r="A4" s="4" t="n">
        <v>3</v>
      </c>
      <c r="B4" s="4" t="s">
        <v>48</v>
      </c>
      <c r="C4" s="5" t="s">
        <v>622</v>
      </c>
      <c r="D4" s="5" t="s">
        <v>623</v>
      </c>
      <c r="E4" s="5" t="s">
        <v>624</v>
      </c>
    </row>
    <row r="5" customFormat="false" ht="26.85" hidden="false" customHeight="false" outlineLevel="0" collapsed="false">
      <c r="A5" s="4" t="n">
        <v>4</v>
      </c>
      <c r="B5" s="4" t="s">
        <v>48</v>
      </c>
      <c r="C5" s="5" t="s">
        <v>625</v>
      </c>
      <c r="D5" s="5" t="s">
        <v>626</v>
      </c>
      <c r="E5" s="5" t="s">
        <v>627</v>
      </c>
    </row>
    <row r="6" customFormat="false" ht="26.85" hidden="false" customHeight="false" outlineLevel="0" collapsed="false">
      <c r="A6" s="4" t="n">
        <v>5</v>
      </c>
      <c r="B6" s="4" t="s">
        <v>48</v>
      </c>
      <c r="C6" s="5" t="s">
        <v>628</v>
      </c>
      <c r="D6" s="5" t="s">
        <v>629</v>
      </c>
      <c r="E6" s="5" t="s">
        <v>630</v>
      </c>
    </row>
    <row r="7" customFormat="false" ht="26.85" hidden="false" customHeight="false" outlineLevel="0" collapsed="false">
      <c r="A7" s="4" t="n">
        <v>6</v>
      </c>
      <c r="B7" s="4" t="s">
        <v>48</v>
      </c>
      <c r="C7" s="5" t="s">
        <v>631</v>
      </c>
      <c r="D7" s="5" t="s">
        <v>632</v>
      </c>
      <c r="E7" s="5" t="s">
        <v>633</v>
      </c>
    </row>
    <row r="8" customFormat="false" ht="26.85" hidden="false" customHeight="false" outlineLevel="0" collapsed="false">
      <c r="A8" s="4" t="n">
        <v>7</v>
      </c>
      <c r="B8" s="4" t="s">
        <v>48</v>
      </c>
      <c r="C8" s="5" t="s">
        <v>634</v>
      </c>
      <c r="D8" s="5" t="s">
        <v>635</v>
      </c>
      <c r="E8" s="5" t="s">
        <v>636</v>
      </c>
    </row>
    <row r="9" customFormat="false" ht="26.85" hidden="false" customHeight="false" outlineLevel="0" collapsed="false">
      <c r="A9" s="4" t="n">
        <v>8</v>
      </c>
      <c r="B9" s="4" t="s">
        <v>48</v>
      </c>
      <c r="C9" s="5" t="s">
        <v>637</v>
      </c>
      <c r="D9" s="5" t="s">
        <v>638</v>
      </c>
      <c r="E9" s="5" t="s">
        <v>639</v>
      </c>
    </row>
    <row r="10" customFormat="false" ht="26.85" hidden="false" customHeight="false" outlineLevel="0" collapsed="false">
      <c r="A10" s="4" t="n">
        <v>9</v>
      </c>
      <c r="B10" s="4" t="s">
        <v>198</v>
      </c>
      <c r="C10" s="5" t="s">
        <v>640</v>
      </c>
      <c r="D10" s="5" t="s">
        <v>641</v>
      </c>
      <c r="E10" s="5" t="s">
        <v>642</v>
      </c>
    </row>
    <row r="11" customFormat="false" ht="26.85" hidden="false" customHeight="false" outlineLevel="0" collapsed="false">
      <c r="A11" s="4" t="n">
        <v>10</v>
      </c>
      <c r="B11" s="4" t="s">
        <v>198</v>
      </c>
      <c r="C11" s="5" t="s">
        <v>643</v>
      </c>
      <c r="D11" s="5" t="s">
        <v>644</v>
      </c>
      <c r="E11" s="5" t="s">
        <v>645</v>
      </c>
    </row>
    <row r="12" customFormat="false" ht="26.85" hidden="false" customHeight="false" outlineLevel="0" collapsed="false">
      <c r="A12" s="4" t="n">
        <v>11</v>
      </c>
      <c r="B12" s="4" t="s">
        <v>198</v>
      </c>
      <c r="C12" s="5" t="s">
        <v>646</v>
      </c>
      <c r="D12" s="5" t="s">
        <v>647</v>
      </c>
      <c r="E12" s="5" t="s">
        <v>648</v>
      </c>
    </row>
    <row r="13" customFormat="false" ht="26.85" hidden="false" customHeight="false" outlineLevel="0" collapsed="false">
      <c r="A13" s="4" t="n">
        <v>12</v>
      </c>
      <c r="B13" s="4" t="s">
        <v>198</v>
      </c>
      <c r="C13" s="5" t="s">
        <v>649</v>
      </c>
      <c r="D13" s="5" t="s">
        <v>650</v>
      </c>
      <c r="E13" s="5" t="s">
        <v>651</v>
      </c>
    </row>
    <row r="14" customFormat="false" ht="26.85" hidden="false" customHeight="false" outlineLevel="0" collapsed="false">
      <c r="A14" s="4" t="n">
        <v>13</v>
      </c>
      <c r="B14" s="4" t="s">
        <v>198</v>
      </c>
      <c r="C14" s="5" t="s">
        <v>652</v>
      </c>
      <c r="D14" s="5" t="s">
        <v>653</v>
      </c>
      <c r="E14" s="5" t="s">
        <v>654</v>
      </c>
    </row>
    <row r="15" customFormat="false" ht="26.85" hidden="false" customHeight="false" outlineLevel="0" collapsed="false">
      <c r="A15" s="4" t="n">
        <v>14</v>
      </c>
      <c r="B15" s="4" t="s">
        <v>198</v>
      </c>
      <c r="C15" s="5" t="s">
        <v>655</v>
      </c>
      <c r="D15" s="5" t="s">
        <v>656</v>
      </c>
      <c r="E15" s="5" t="s">
        <v>657</v>
      </c>
    </row>
    <row r="16" customFormat="false" ht="26.85" hidden="false" customHeight="false" outlineLevel="0" collapsed="false">
      <c r="A16" s="4" t="n">
        <v>15</v>
      </c>
      <c r="B16" s="4" t="s">
        <v>198</v>
      </c>
      <c r="C16" s="5" t="s">
        <v>658</v>
      </c>
      <c r="D16" s="5" t="s">
        <v>659</v>
      </c>
      <c r="E16" s="5" t="s">
        <v>660</v>
      </c>
    </row>
    <row r="17" customFormat="false" ht="26.85" hidden="false" customHeight="false" outlineLevel="0" collapsed="false">
      <c r="A17" s="4" t="n">
        <v>16</v>
      </c>
      <c r="B17" s="4" t="s">
        <v>198</v>
      </c>
      <c r="C17" s="5" t="s">
        <v>661</v>
      </c>
      <c r="D17" s="5" t="s">
        <v>662</v>
      </c>
      <c r="E17" s="5" t="s">
        <v>663</v>
      </c>
    </row>
    <row r="18" customFormat="false" ht="26.85" hidden="false" customHeight="false" outlineLevel="0" collapsed="false">
      <c r="A18" s="4" t="n">
        <v>17</v>
      </c>
      <c r="B18" s="4" t="s">
        <v>340</v>
      </c>
      <c r="C18" s="5" t="s">
        <v>664</v>
      </c>
      <c r="D18" s="5" t="s">
        <v>665</v>
      </c>
      <c r="E18" s="5" t="s">
        <v>666</v>
      </c>
    </row>
    <row r="19" customFormat="false" ht="26.85" hidden="false" customHeight="false" outlineLevel="0" collapsed="false">
      <c r="A19" s="4" t="n">
        <v>18</v>
      </c>
      <c r="B19" s="4" t="s">
        <v>340</v>
      </c>
      <c r="C19" s="5" t="s">
        <v>667</v>
      </c>
      <c r="D19" s="5" t="s">
        <v>668</v>
      </c>
      <c r="E19" s="5" t="s">
        <v>669</v>
      </c>
    </row>
    <row r="20" customFormat="false" ht="26.85" hidden="false" customHeight="false" outlineLevel="0" collapsed="false">
      <c r="A20" s="4" t="n">
        <v>19</v>
      </c>
      <c r="B20" s="4" t="s">
        <v>340</v>
      </c>
      <c r="C20" s="5" t="s">
        <v>670</v>
      </c>
      <c r="D20" s="5" t="s">
        <v>671</v>
      </c>
      <c r="E20" s="5" t="s">
        <v>672</v>
      </c>
    </row>
    <row r="21" customFormat="false" ht="26.85" hidden="false" customHeight="false" outlineLevel="0" collapsed="false">
      <c r="A21" s="4" t="n">
        <v>20</v>
      </c>
      <c r="B21" s="4" t="s">
        <v>340</v>
      </c>
      <c r="C21" s="5" t="s">
        <v>673</v>
      </c>
      <c r="D21" s="5" t="s">
        <v>674</v>
      </c>
      <c r="E21" s="5" t="s">
        <v>675</v>
      </c>
    </row>
    <row r="22" customFormat="false" ht="26.85" hidden="false" customHeight="false" outlineLevel="0" collapsed="false">
      <c r="A22" s="4" t="n">
        <v>21</v>
      </c>
      <c r="B22" s="4" t="s">
        <v>340</v>
      </c>
      <c r="C22" s="5" t="s">
        <v>676</v>
      </c>
      <c r="D22" s="5" t="s">
        <v>677</v>
      </c>
      <c r="E22" s="5" t="s">
        <v>678</v>
      </c>
    </row>
    <row r="23" customFormat="false" ht="26.85" hidden="false" customHeight="false" outlineLevel="0" collapsed="false">
      <c r="A23" s="4" t="n">
        <v>22</v>
      </c>
      <c r="B23" s="4" t="s">
        <v>340</v>
      </c>
      <c r="C23" s="5" t="s">
        <v>679</v>
      </c>
      <c r="D23" s="5" t="s">
        <v>680</v>
      </c>
      <c r="E23" s="5" t="s">
        <v>681</v>
      </c>
    </row>
    <row r="24" customFormat="false" ht="26.85" hidden="false" customHeight="false" outlineLevel="0" collapsed="false">
      <c r="A24" s="4" t="n">
        <v>23</v>
      </c>
      <c r="B24" s="4" t="s">
        <v>340</v>
      </c>
      <c r="C24" s="5" t="s">
        <v>682</v>
      </c>
      <c r="D24" s="5" t="s">
        <v>683</v>
      </c>
      <c r="E24" s="5" t="s">
        <v>684</v>
      </c>
    </row>
    <row r="25" customFormat="false" ht="26.85" hidden="false" customHeight="false" outlineLevel="0" collapsed="false">
      <c r="A25" s="4" t="n">
        <v>24</v>
      </c>
      <c r="B25" s="4" t="s">
        <v>340</v>
      </c>
      <c r="C25" s="5" t="s">
        <v>685</v>
      </c>
      <c r="D25" s="5" t="s">
        <v>686</v>
      </c>
      <c r="E25" s="5" t="s">
        <v>687</v>
      </c>
    </row>
    <row r="26" customFormat="false" ht="26.85" hidden="false" customHeight="false" outlineLevel="0" collapsed="false">
      <c r="A26" s="4" t="n">
        <v>25</v>
      </c>
      <c r="B26" s="4" t="s">
        <v>340</v>
      </c>
      <c r="C26" s="5" t="s">
        <v>688</v>
      </c>
      <c r="D26" s="5" t="s">
        <v>689</v>
      </c>
      <c r="E26" s="5" t="s">
        <v>690</v>
      </c>
    </row>
    <row r="27" customFormat="false" ht="26.85" hidden="false" customHeight="false" outlineLevel="0" collapsed="false">
      <c r="A27" s="4" t="n">
        <v>26</v>
      </c>
      <c r="B27" s="4" t="s">
        <v>340</v>
      </c>
      <c r="C27" s="5" t="s">
        <v>691</v>
      </c>
      <c r="D27" s="5" t="s">
        <v>692</v>
      </c>
      <c r="E27" s="5" t="s">
        <v>693</v>
      </c>
    </row>
    <row r="28" customFormat="false" ht="26.85" hidden="false" customHeight="false" outlineLevel="0" collapsed="false">
      <c r="A28" s="4" t="n">
        <v>27</v>
      </c>
      <c r="B28" s="4" t="s">
        <v>340</v>
      </c>
      <c r="C28" s="5" t="s">
        <v>694</v>
      </c>
      <c r="D28" s="5" t="s">
        <v>695</v>
      </c>
      <c r="E28" s="5" t="s">
        <v>696</v>
      </c>
    </row>
    <row r="29" customFormat="false" ht="26.85" hidden="false" customHeight="false" outlineLevel="0" collapsed="false">
      <c r="A29" s="4" t="n">
        <v>28</v>
      </c>
      <c r="B29" s="4" t="s">
        <v>340</v>
      </c>
      <c r="C29" s="5" t="s">
        <v>697</v>
      </c>
      <c r="D29" s="5" t="s">
        <v>698</v>
      </c>
      <c r="E29" s="5" t="s">
        <v>699</v>
      </c>
    </row>
    <row r="30" customFormat="false" ht="26.85" hidden="false" customHeight="false" outlineLevel="0" collapsed="false">
      <c r="A30" s="4" t="n">
        <v>29</v>
      </c>
      <c r="B30" s="4" t="s">
        <v>340</v>
      </c>
      <c r="C30" s="5" t="s">
        <v>700</v>
      </c>
      <c r="D30" s="5" t="s">
        <v>701</v>
      </c>
      <c r="E30" s="5" t="s">
        <v>702</v>
      </c>
    </row>
    <row r="31" customFormat="false" ht="26.85" hidden="false" customHeight="false" outlineLevel="0" collapsed="false">
      <c r="A31" s="4" t="n">
        <v>30</v>
      </c>
      <c r="B31" s="4" t="s">
        <v>340</v>
      </c>
      <c r="C31" s="5" t="s">
        <v>703</v>
      </c>
      <c r="D31" s="5" t="s">
        <v>704</v>
      </c>
      <c r="E31" s="5" t="s">
        <v>705</v>
      </c>
    </row>
    <row r="32" customFormat="false" ht="26.85" hidden="false" customHeight="false" outlineLevel="0" collapsed="false">
      <c r="A32" s="4" t="n">
        <v>31</v>
      </c>
      <c r="B32" s="4" t="s">
        <v>561</v>
      </c>
      <c r="C32" s="5" t="s">
        <v>706</v>
      </c>
      <c r="D32" s="5" t="s">
        <v>707</v>
      </c>
      <c r="E32" s="5" t="s">
        <v>708</v>
      </c>
    </row>
    <row r="33" customFormat="false" ht="26.85" hidden="false" customHeight="false" outlineLevel="0" collapsed="false">
      <c r="A33" s="4" t="n">
        <v>32</v>
      </c>
      <c r="B33" s="4" t="s">
        <v>561</v>
      </c>
      <c r="C33" s="5" t="s">
        <v>709</v>
      </c>
      <c r="D33" s="5" t="s">
        <v>710</v>
      </c>
      <c r="E33" s="5" t="s">
        <v>711</v>
      </c>
    </row>
    <row r="34" customFormat="false" ht="26.85" hidden="false" customHeight="false" outlineLevel="0" collapsed="false">
      <c r="A34" s="4" t="n">
        <v>33</v>
      </c>
      <c r="B34" s="4" t="s">
        <v>561</v>
      </c>
      <c r="C34" s="5" t="s">
        <v>712</v>
      </c>
      <c r="D34" s="5" t="s">
        <v>713</v>
      </c>
      <c r="E34" s="5" t="s">
        <v>714</v>
      </c>
    </row>
    <row r="35" customFormat="false" ht="26.85" hidden="false" customHeight="false" outlineLevel="0" collapsed="false">
      <c r="A35" s="4" t="n">
        <v>34</v>
      </c>
      <c r="B35" s="4" t="s">
        <v>561</v>
      </c>
      <c r="C35" s="5" t="s">
        <v>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58"/>
    <col collapsed="false" customWidth="true" hidden="false" outlineLevel="0" max="4" min="4" style="0" width="42"/>
    <col collapsed="false" customWidth="true" hidden="false" outlineLevel="0" max="5" min="5" style="0" width="20"/>
    <col collapsed="false" customWidth="true" hidden="false" outlineLevel="0" max="6" min="6" style="0" width="9"/>
    <col collapsed="false" customWidth="true" hidden="false" outlineLevel="0" max="7" min="7" style="0" width="14"/>
    <col collapsed="false" customWidth="true" hidden="false" outlineLevel="0" max="8" min="8" style="0" width="16"/>
    <col collapsed="false" customWidth="true" hidden="false" outlineLevel="0" max="9" min="9" style="0" width="11"/>
    <col collapsed="false" customWidth="true" hidden="false" outlineLevel="0" max="10" min="10" style="0" width="22"/>
    <col collapsed="false" customWidth="true" hidden="false" outlineLevel="0" max="11" min="11" style="0" width="10"/>
  </cols>
  <sheetData>
    <row r="1" customFormat="false" ht="39.55" hidden="false" customHeight="false" outlineLevel="0" collapsed="false">
      <c r="A1" s="3" t="s">
        <v>21</v>
      </c>
      <c r="B1" s="3" t="s">
        <v>20</v>
      </c>
      <c r="C1" s="3" t="s">
        <v>23</v>
      </c>
      <c r="D1" s="3" t="s">
        <v>716</v>
      </c>
      <c r="E1" s="3" t="s">
        <v>24</v>
      </c>
      <c r="F1" s="3" t="s">
        <v>717</v>
      </c>
      <c r="G1" s="3" t="s">
        <v>26</v>
      </c>
      <c r="H1" s="3" t="s">
        <v>27</v>
      </c>
      <c r="I1" s="3" t="s">
        <v>28</v>
      </c>
      <c r="J1" s="3" t="s">
        <v>29</v>
      </c>
      <c r="K1" s="3" t="s">
        <v>718</v>
      </c>
    </row>
    <row r="2" customFormat="false" ht="39.55" hidden="false" customHeight="false" outlineLevel="0" collapsed="false">
      <c r="A2" s="4" t="s">
        <v>50</v>
      </c>
      <c r="B2" s="4" t="s">
        <v>49</v>
      </c>
      <c r="C2" s="5" t="s">
        <v>52</v>
      </c>
      <c r="D2" s="5" t="s">
        <v>51</v>
      </c>
      <c r="E2" s="4" t="s">
        <v>53</v>
      </c>
      <c r="F2" s="4" t="s">
        <v>54</v>
      </c>
      <c r="G2" s="4" t="s">
        <v>55</v>
      </c>
      <c r="H2" s="4" t="s">
        <v>56</v>
      </c>
      <c r="I2" s="4" t="s">
        <v>57</v>
      </c>
      <c r="J2" s="4" t="s">
        <v>58</v>
      </c>
      <c r="K2" s="4" t="n">
        <v>1</v>
      </c>
    </row>
    <row r="3" customFormat="false" ht="26.85" hidden="false" customHeight="false" outlineLevel="0" collapsed="false">
      <c r="A3" s="4" t="s">
        <v>50</v>
      </c>
      <c r="B3" s="4" t="s">
        <v>71</v>
      </c>
      <c r="C3" s="5" t="s">
        <v>73</v>
      </c>
      <c r="D3" s="5" t="s">
        <v>72</v>
      </c>
      <c r="E3" s="4" t="s">
        <v>74</v>
      </c>
      <c r="F3" s="4" t="s">
        <v>54</v>
      </c>
      <c r="G3" s="4" t="s">
        <v>49</v>
      </c>
      <c r="H3" s="4" t="s">
        <v>56</v>
      </c>
      <c r="I3" s="4" t="s">
        <v>57</v>
      </c>
      <c r="J3" s="4" t="s">
        <v>58</v>
      </c>
      <c r="K3" s="4" t="n">
        <v>3</v>
      </c>
    </row>
    <row r="4" customFormat="false" ht="39.55" hidden="false" customHeight="false" outlineLevel="0" collapsed="false">
      <c r="A4" s="4" t="s">
        <v>50</v>
      </c>
      <c r="B4" s="4" t="s">
        <v>84</v>
      </c>
      <c r="C4" s="5" t="s">
        <v>86</v>
      </c>
      <c r="D4" s="5" t="s">
        <v>85</v>
      </c>
      <c r="E4" s="4" t="s">
        <v>74</v>
      </c>
      <c r="F4" s="4" t="s">
        <v>87</v>
      </c>
      <c r="G4" s="4" t="s">
        <v>55</v>
      </c>
      <c r="H4" s="4" t="s">
        <v>56</v>
      </c>
      <c r="I4" s="4" t="s">
        <v>57</v>
      </c>
      <c r="J4" s="4" t="s">
        <v>58</v>
      </c>
      <c r="K4" s="4" t="n">
        <v>5</v>
      </c>
    </row>
    <row r="5" customFormat="false" ht="26.85" hidden="false" customHeight="false" outlineLevel="0" collapsed="false">
      <c r="A5" s="4" t="s">
        <v>50</v>
      </c>
      <c r="B5" s="4" t="s">
        <v>99</v>
      </c>
      <c r="C5" s="5" t="s">
        <v>101</v>
      </c>
      <c r="D5" s="5" t="s">
        <v>100</v>
      </c>
      <c r="E5" s="4" t="s">
        <v>74</v>
      </c>
      <c r="F5" s="4" t="s">
        <v>87</v>
      </c>
      <c r="G5" s="4" t="s">
        <v>49</v>
      </c>
      <c r="H5" s="4" t="s">
        <v>56</v>
      </c>
      <c r="I5" s="4" t="s">
        <v>57</v>
      </c>
      <c r="J5" s="4" t="s">
        <v>58</v>
      </c>
      <c r="K5" s="4" t="n">
        <v>7</v>
      </c>
    </row>
    <row r="6" customFormat="false" ht="39.55" hidden="false" customHeight="false" outlineLevel="0" collapsed="false">
      <c r="A6" s="4" t="s">
        <v>50</v>
      </c>
      <c r="B6" s="4" t="s">
        <v>111</v>
      </c>
      <c r="C6" s="5" t="s">
        <v>113</v>
      </c>
      <c r="D6" s="5" t="s">
        <v>112</v>
      </c>
      <c r="E6" s="4" t="s">
        <v>53</v>
      </c>
      <c r="F6" s="4" t="s">
        <v>54</v>
      </c>
      <c r="G6" s="4" t="s">
        <v>99</v>
      </c>
      <c r="H6" s="4" t="s">
        <v>114</v>
      </c>
      <c r="I6" s="4" t="s">
        <v>115</v>
      </c>
      <c r="J6" s="4" t="s">
        <v>58</v>
      </c>
      <c r="K6" s="4" t="n">
        <v>9</v>
      </c>
    </row>
    <row r="7" customFormat="false" ht="39.55" hidden="false" customHeight="false" outlineLevel="0" collapsed="false">
      <c r="A7" s="4" t="s">
        <v>50</v>
      </c>
      <c r="B7" s="4" t="s">
        <v>124</v>
      </c>
      <c r="C7" s="5" t="s">
        <v>126</v>
      </c>
      <c r="D7" s="5" t="s">
        <v>125</v>
      </c>
      <c r="E7" s="4" t="s">
        <v>53</v>
      </c>
      <c r="F7" s="4" t="s">
        <v>127</v>
      </c>
      <c r="G7" s="4" t="s">
        <v>49</v>
      </c>
      <c r="H7" s="4" t="s">
        <v>94</v>
      </c>
      <c r="I7" s="4" t="s">
        <v>57</v>
      </c>
      <c r="J7" s="4" t="s">
        <v>58</v>
      </c>
      <c r="K7" s="4" t="n">
        <v>11</v>
      </c>
    </row>
    <row r="8" customFormat="false" ht="39.55" hidden="false" customHeight="false" outlineLevel="0" collapsed="false">
      <c r="A8" s="4" t="s">
        <v>50</v>
      </c>
      <c r="B8" s="4" t="s">
        <v>137</v>
      </c>
      <c r="C8" s="5" t="s">
        <v>139</v>
      </c>
      <c r="D8" s="5" t="s">
        <v>138</v>
      </c>
      <c r="E8" s="4" t="s">
        <v>53</v>
      </c>
      <c r="F8" s="4" t="s">
        <v>127</v>
      </c>
      <c r="G8" s="4" t="s">
        <v>124</v>
      </c>
      <c r="H8" s="4" t="s">
        <v>94</v>
      </c>
      <c r="I8" s="4" t="s">
        <v>115</v>
      </c>
      <c r="J8" s="4" t="s">
        <v>58</v>
      </c>
      <c r="K8" s="4" t="n">
        <v>13</v>
      </c>
    </row>
    <row r="9" customFormat="false" ht="39.55" hidden="false" customHeight="false" outlineLevel="0" collapsed="false">
      <c r="A9" s="4" t="s">
        <v>50</v>
      </c>
      <c r="B9" s="4" t="s">
        <v>168</v>
      </c>
      <c r="C9" s="5" t="s">
        <v>170</v>
      </c>
      <c r="D9" s="5" t="s">
        <v>169</v>
      </c>
      <c r="E9" s="4" t="s">
        <v>53</v>
      </c>
      <c r="F9" s="4" t="s">
        <v>87</v>
      </c>
      <c r="G9" s="4" t="s">
        <v>124</v>
      </c>
      <c r="H9" s="4" t="s">
        <v>114</v>
      </c>
      <c r="I9" s="4" t="s">
        <v>57</v>
      </c>
      <c r="J9" s="4" t="s">
        <v>58</v>
      </c>
      <c r="K9" s="4" t="n">
        <v>19</v>
      </c>
    </row>
    <row r="10" customFormat="false" ht="39.55" hidden="false" customHeight="false" outlineLevel="0" collapsed="false">
      <c r="A10" s="4" t="s">
        <v>50</v>
      </c>
      <c r="B10" s="4" t="s">
        <v>180</v>
      </c>
      <c r="C10" s="5" t="s">
        <v>182</v>
      </c>
      <c r="D10" s="5" t="s">
        <v>181</v>
      </c>
      <c r="E10" s="4" t="s">
        <v>74</v>
      </c>
      <c r="F10" s="4" t="s">
        <v>54</v>
      </c>
      <c r="G10" s="4" t="s">
        <v>55</v>
      </c>
      <c r="H10" s="4" t="s">
        <v>56</v>
      </c>
      <c r="I10" s="4" t="s">
        <v>115</v>
      </c>
      <c r="J10" s="4" t="s">
        <v>58</v>
      </c>
      <c r="K10" s="4" t="n">
        <v>21</v>
      </c>
    </row>
    <row r="11" customFormat="false" ht="39.55" hidden="false" customHeight="false" outlineLevel="0" collapsed="false">
      <c r="A11" s="4" t="s">
        <v>50</v>
      </c>
      <c r="B11" s="4" t="s">
        <v>190</v>
      </c>
      <c r="C11" s="5" t="s">
        <v>192</v>
      </c>
      <c r="D11" s="5" t="s">
        <v>191</v>
      </c>
      <c r="E11" s="4" t="s">
        <v>53</v>
      </c>
      <c r="F11" s="4" t="s">
        <v>87</v>
      </c>
      <c r="G11" s="4" t="s">
        <v>180</v>
      </c>
      <c r="H11" s="4" t="s">
        <v>56</v>
      </c>
      <c r="I11" s="4" t="s">
        <v>57</v>
      </c>
      <c r="J11" s="4" t="s">
        <v>58</v>
      </c>
      <c r="K11" s="4" t="n">
        <v>23</v>
      </c>
    </row>
    <row r="12" customFormat="false" ht="39.55" hidden="false" customHeight="false" outlineLevel="0" collapsed="false">
      <c r="A12" s="4" t="s">
        <v>50</v>
      </c>
      <c r="B12" s="4" t="s">
        <v>93</v>
      </c>
      <c r="C12" s="5" t="s">
        <v>200</v>
      </c>
      <c r="D12" s="5" t="s">
        <v>199</v>
      </c>
      <c r="E12" s="4" t="s">
        <v>53</v>
      </c>
      <c r="F12" s="4" t="s">
        <v>54</v>
      </c>
      <c r="G12" s="4" t="s">
        <v>180</v>
      </c>
      <c r="H12" s="4" t="s">
        <v>94</v>
      </c>
      <c r="I12" s="4" t="s">
        <v>57</v>
      </c>
      <c r="J12" s="4" t="s">
        <v>58</v>
      </c>
      <c r="K12" s="4" t="n">
        <v>25</v>
      </c>
    </row>
    <row r="13" customFormat="false" ht="39.55" hidden="false" customHeight="false" outlineLevel="0" collapsed="false">
      <c r="A13" s="4" t="s">
        <v>50</v>
      </c>
      <c r="B13" s="4" t="s">
        <v>235</v>
      </c>
      <c r="C13" s="5" t="s">
        <v>237</v>
      </c>
      <c r="D13" s="5" t="s">
        <v>236</v>
      </c>
      <c r="E13" s="4" t="s">
        <v>53</v>
      </c>
      <c r="F13" s="4" t="s">
        <v>127</v>
      </c>
      <c r="G13" s="4" t="s">
        <v>180</v>
      </c>
      <c r="H13" s="4" t="s">
        <v>56</v>
      </c>
      <c r="I13" s="4" t="s">
        <v>57</v>
      </c>
      <c r="J13" s="4" t="s">
        <v>67</v>
      </c>
      <c r="K13" s="4" t="n">
        <v>30</v>
      </c>
    </row>
    <row r="14" customFormat="false" ht="26.85" hidden="false" customHeight="false" outlineLevel="0" collapsed="false">
      <c r="A14" s="4" t="s">
        <v>50</v>
      </c>
      <c r="B14" s="4" t="s">
        <v>256</v>
      </c>
      <c r="C14" s="5" t="s">
        <v>258</v>
      </c>
      <c r="D14" s="5" t="s">
        <v>257</v>
      </c>
      <c r="E14" s="4" t="s">
        <v>53</v>
      </c>
      <c r="F14" s="4" t="s">
        <v>54</v>
      </c>
      <c r="G14" s="4" t="s">
        <v>235</v>
      </c>
      <c r="H14" s="4" t="s">
        <v>56</v>
      </c>
      <c r="I14" s="4" t="s">
        <v>115</v>
      </c>
      <c r="J14" s="4" t="s">
        <v>231</v>
      </c>
      <c r="K14" s="4" t="n">
        <v>34</v>
      </c>
    </row>
    <row r="15" customFormat="false" ht="26.85" hidden="false" customHeight="false" outlineLevel="0" collapsed="false">
      <c r="A15" s="4" t="s">
        <v>50</v>
      </c>
      <c r="B15" s="4" t="s">
        <v>279</v>
      </c>
      <c r="C15" s="5" t="s">
        <v>281</v>
      </c>
      <c r="D15" s="5" t="s">
        <v>280</v>
      </c>
      <c r="E15" s="4" t="s">
        <v>74</v>
      </c>
      <c r="F15" s="4" t="s">
        <v>127</v>
      </c>
      <c r="G15" s="4" t="s">
        <v>235</v>
      </c>
      <c r="H15" s="4" t="s">
        <v>56</v>
      </c>
      <c r="I15" s="4" t="s">
        <v>57</v>
      </c>
      <c r="J15" s="4" t="s">
        <v>58</v>
      </c>
      <c r="K15" s="4" t="n">
        <v>38</v>
      </c>
    </row>
    <row r="16" customFormat="false" ht="39.55" hidden="false" customHeight="false" outlineLevel="0" collapsed="false">
      <c r="A16" s="4" t="s">
        <v>50</v>
      </c>
      <c r="B16" s="4" t="s">
        <v>309</v>
      </c>
      <c r="C16" s="5" t="s">
        <v>311</v>
      </c>
      <c r="D16" s="5" t="s">
        <v>310</v>
      </c>
      <c r="E16" s="4" t="s">
        <v>74</v>
      </c>
      <c r="F16" s="4" t="s">
        <v>87</v>
      </c>
      <c r="G16" s="4" t="s">
        <v>279</v>
      </c>
      <c r="H16" s="4" t="s">
        <v>56</v>
      </c>
      <c r="I16" s="4" t="s">
        <v>115</v>
      </c>
      <c r="J16" s="4" t="s">
        <v>58</v>
      </c>
      <c r="K16" s="4" t="n">
        <v>43</v>
      </c>
    </row>
    <row r="17" customFormat="false" ht="39.55" hidden="false" customHeight="false" outlineLevel="0" collapsed="false">
      <c r="A17" s="4" t="s">
        <v>50</v>
      </c>
      <c r="B17" s="4" t="s">
        <v>330</v>
      </c>
      <c r="C17" s="5" t="s">
        <v>332</v>
      </c>
      <c r="D17" s="5" t="s">
        <v>331</v>
      </c>
      <c r="E17" s="4" t="s">
        <v>53</v>
      </c>
      <c r="F17" s="4" t="s">
        <v>54</v>
      </c>
      <c r="G17" s="4" t="s">
        <v>279</v>
      </c>
      <c r="H17" s="4" t="s">
        <v>114</v>
      </c>
      <c r="I17" s="4" t="s">
        <v>115</v>
      </c>
      <c r="J17" s="4" t="s">
        <v>58</v>
      </c>
      <c r="K17" s="4" t="n">
        <v>47</v>
      </c>
    </row>
    <row r="18" customFormat="false" ht="39.55" hidden="false" customHeight="false" outlineLevel="0" collapsed="false">
      <c r="A18" s="4" t="s">
        <v>50</v>
      </c>
      <c r="B18" s="4" t="s">
        <v>361</v>
      </c>
      <c r="C18" s="5" t="s">
        <v>363</v>
      </c>
      <c r="D18" s="5" t="s">
        <v>362</v>
      </c>
      <c r="E18" s="4" t="s">
        <v>74</v>
      </c>
      <c r="F18" s="4" t="s">
        <v>127</v>
      </c>
      <c r="G18" s="4" t="s">
        <v>364</v>
      </c>
      <c r="H18" s="4" t="s">
        <v>94</v>
      </c>
      <c r="I18" s="4" t="s">
        <v>115</v>
      </c>
      <c r="J18" s="4" t="s">
        <v>58</v>
      </c>
      <c r="K18" s="4" t="n">
        <v>53</v>
      </c>
    </row>
    <row r="19" customFormat="false" ht="26.85" hidden="false" customHeight="false" outlineLevel="0" collapsed="false">
      <c r="A19" s="4" t="s">
        <v>50</v>
      </c>
      <c r="B19" s="4" t="s">
        <v>382</v>
      </c>
      <c r="C19" s="5" t="s">
        <v>384</v>
      </c>
      <c r="D19" s="5" t="s">
        <v>383</v>
      </c>
      <c r="E19" s="4" t="s">
        <v>74</v>
      </c>
      <c r="F19" s="4" t="s">
        <v>54</v>
      </c>
      <c r="G19" s="4" t="s">
        <v>361</v>
      </c>
      <c r="H19" s="4" t="s">
        <v>94</v>
      </c>
      <c r="I19" s="4" t="s">
        <v>115</v>
      </c>
      <c r="J19" s="4" t="s">
        <v>58</v>
      </c>
      <c r="K19" s="4" t="n">
        <v>57</v>
      </c>
    </row>
    <row r="20" customFormat="false" ht="26.85" hidden="false" customHeight="false" outlineLevel="0" collapsed="false">
      <c r="A20" s="4" t="s">
        <v>50</v>
      </c>
      <c r="B20" s="4" t="s">
        <v>404</v>
      </c>
      <c r="C20" s="5" t="s">
        <v>406</v>
      </c>
      <c r="D20" s="5" t="s">
        <v>405</v>
      </c>
      <c r="E20" s="4" t="s">
        <v>53</v>
      </c>
      <c r="F20" s="4" t="s">
        <v>54</v>
      </c>
      <c r="G20" s="4" t="s">
        <v>361</v>
      </c>
      <c r="H20" s="4" t="s">
        <v>94</v>
      </c>
      <c r="I20" s="4" t="s">
        <v>115</v>
      </c>
      <c r="J20" s="4" t="s">
        <v>58</v>
      </c>
      <c r="K20" s="4" t="n">
        <v>61</v>
      </c>
    </row>
    <row r="21" customFormat="false" ht="39.55" hidden="false" customHeight="false" outlineLevel="0" collapsed="false">
      <c r="A21" s="4" t="s">
        <v>50</v>
      </c>
      <c r="B21" s="4" t="s">
        <v>435</v>
      </c>
      <c r="C21" s="5" t="s">
        <v>437</v>
      </c>
      <c r="D21" s="5" t="s">
        <v>436</v>
      </c>
      <c r="E21" s="4" t="s">
        <v>53</v>
      </c>
      <c r="F21" s="4" t="s">
        <v>54</v>
      </c>
      <c r="G21" s="4" t="s">
        <v>279</v>
      </c>
      <c r="H21" s="4" t="s">
        <v>56</v>
      </c>
      <c r="I21" s="4" t="s">
        <v>115</v>
      </c>
      <c r="J21" s="4" t="s">
        <v>67</v>
      </c>
      <c r="K21" s="4" t="n">
        <v>66</v>
      </c>
    </row>
    <row r="22" customFormat="false" ht="26.85" hidden="false" customHeight="false" outlineLevel="0" collapsed="false">
      <c r="A22" s="4" t="s">
        <v>50</v>
      </c>
      <c r="B22" s="4" t="s">
        <v>453</v>
      </c>
      <c r="C22" s="5" t="s">
        <v>455</v>
      </c>
      <c r="D22" s="5" t="s">
        <v>454</v>
      </c>
      <c r="E22" s="4" t="s">
        <v>53</v>
      </c>
      <c r="F22" s="4" t="s">
        <v>54</v>
      </c>
      <c r="G22" s="4" t="s">
        <v>111</v>
      </c>
      <c r="H22" s="4" t="s">
        <v>56</v>
      </c>
      <c r="I22" s="4" t="s">
        <v>57</v>
      </c>
      <c r="J22" s="4" t="s">
        <v>58</v>
      </c>
      <c r="K22" s="4" t="n">
        <v>70</v>
      </c>
    </row>
    <row r="23" customFormat="false" ht="26.85" hidden="false" customHeight="false" outlineLevel="0" collapsed="false">
      <c r="A23" s="4" t="s">
        <v>50</v>
      </c>
      <c r="B23" s="4" t="s">
        <v>474</v>
      </c>
      <c r="C23" s="5" t="s">
        <v>476</v>
      </c>
      <c r="D23" s="5" t="s">
        <v>475</v>
      </c>
      <c r="E23" s="4" t="s">
        <v>53</v>
      </c>
      <c r="F23" s="4" t="s">
        <v>54</v>
      </c>
      <c r="G23" s="4" t="s">
        <v>453</v>
      </c>
      <c r="H23" s="4" t="s">
        <v>94</v>
      </c>
      <c r="I23" s="4" t="s">
        <v>115</v>
      </c>
      <c r="J23" s="4" t="s">
        <v>58</v>
      </c>
      <c r="K23" s="4" t="n">
        <v>74</v>
      </c>
    </row>
    <row r="24" customFormat="false" ht="26.85" hidden="false" customHeight="false" outlineLevel="0" collapsed="false">
      <c r="A24" s="4" t="s">
        <v>50</v>
      </c>
      <c r="B24" s="4" t="s">
        <v>494</v>
      </c>
      <c r="C24" s="5" t="s">
        <v>496</v>
      </c>
      <c r="D24" s="5" t="s">
        <v>495</v>
      </c>
      <c r="E24" s="4" t="s">
        <v>53</v>
      </c>
      <c r="F24" s="4" t="s">
        <v>87</v>
      </c>
      <c r="G24" s="4" t="s">
        <v>453</v>
      </c>
      <c r="H24" s="4" t="s">
        <v>114</v>
      </c>
      <c r="I24" s="4" t="s">
        <v>115</v>
      </c>
      <c r="J24" s="4" t="s">
        <v>58</v>
      </c>
      <c r="K24" s="4" t="n">
        <v>78</v>
      </c>
    </row>
    <row r="25" customFormat="false" ht="39.55" hidden="false" customHeight="false" outlineLevel="0" collapsed="false">
      <c r="A25" s="4" t="s">
        <v>50</v>
      </c>
      <c r="B25" s="4" t="s">
        <v>519</v>
      </c>
      <c r="C25" s="5" t="s">
        <v>521</v>
      </c>
      <c r="D25" s="5" t="s">
        <v>520</v>
      </c>
      <c r="E25" s="4" t="s">
        <v>53</v>
      </c>
      <c r="F25" s="4" t="s">
        <v>54</v>
      </c>
      <c r="G25" s="4" t="s">
        <v>49</v>
      </c>
      <c r="H25" s="4" t="s">
        <v>94</v>
      </c>
      <c r="I25" s="4" t="s">
        <v>115</v>
      </c>
      <c r="J25" s="4" t="s">
        <v>67</v>
      </c>
      <c r="K25" s="4" t="n">
        <v>82</v>
      </c>
    </row>
    <row r="26" customFormat="false" ht="39.55" hidden="false" customHeight="false" outlineLevel="0" collapsed="false">
      <c r="A26" s="4" t="s">
        <v>50</v>
      </c>
      <c r="B26" s="4" t="s">
        <v>530</v>
      </c>
      <c r="C26" s="5" t="s">
        <v>532</v>
      </c>
      <c r="D26" s="5" t="s">
        <v>531</v>
      </c>
      <c r="E26" s="4" t="s">
        <v>53</v>
      </c>
      <c r="F26" s="4" t="s">
        <v>127</v>
      </c>
      <c r="G26" s="4" t="s">
        <v>124</v>
      </c>
      <c r="H26" s="4" t="s">
        <v>94</v>
      </c>
      <c r="I26" s="4" t="s">
        <v>115</v>
      </c>
      <c r="J26" s="4" t="s">
        <v>231</v>
      </c>
      <c r="K26" s="4" t="n">
        <v>84</v>
      </c>
    </row>
    <row r="27" customFormat="false" ht="39.55" hidden="false" customHeight="false" outlineLevel="0" collapsed="false">
      <c r="A27" s="4" t="s">
        <v>50</v>
      </c>
      <c r="B27" s="4" t="s">
        <v>540</v>
      </c>
      <c r="C27" s="5" t="s">
        <v>542</v>
      </c>
      <c r="D27" s="5" t="s">
        <v>541</v>
      </c>
      <c r="E27" s="4" t="s">
        <v>53</v>
      </c>
      <c r="F27" s="4" t="s">
        <v>127</v>
      </c>
      <c r="G27" s="4" t="s">
        <v>235</v>
      </c>
      <c r="H27" s="4" t="s">
        <v>56</v>
      </c>
      <c r="I27" s="4" t="s">
        <v>115</v>
      </c>
      <c r="J27" s="4" t="s">
        <v>67</v>
      </c>
      <c r="K27" s="4" t="n">
        <v>86</v>
      </c>
    </row>
    <row r="28" customFormat="false" ht="39.55" hidden="false" customHeight="false" outlineLevel="0" collapsed="false">
      <c r="A28" s="4" t="s">
        <v>50</v>
      </c>
      <c r="B28" s="4" t="s">
        <v>548</v>
      </c>
      <c r="C28" s="5" t="s">
        <v>550</v>
      </c>
      <c r="D28" s="5" t="s">
        <v>549</v>
      </c>
      <c r="E28" s="4" t="s">
        <v>74</v>
      </c>
      <c r="F28" s="4" t="s">
        <v>54</v>
      </c>
      <c r="G28" s="4" t="s">
        <v>84</v>
      </c>
      <c r="H28" s="4" t="s">
        <v>56</v>
      </c>
      <c r="I28" s="4" t="s">
        <v>57</v>
      </c>
      <c r="J28" s="4" t="s">
        <v>67</v>
      </c>
      <c r="K28" s="4" t="n">
        <v>88</v>
      </c>
    </row>
    <row r="29" customFormat="false" ht="26.85" hidden="false" customHeight="false" outlineLevel="0" collapsed="false">
      <c r="A29" s="4" t="s">
        <v>50</v>
      </c>
      <c r="B29" s="4" t="s">
        <v>225</v>
      </c>
      <c r="C29" s="5" t="s">
        <v>227</v>
      </c>
      <c r="D29" s="5" t="s">
        <v>226</v>
      </c>
      <c r="E29" s="4" t="s">
        <v>228</v>
      </c>
      <c r="F29" s="4" t="s">
        <v>229</v>
      </c>
      <c r="G29" s="4" t="s">
        <v>230</v>
      </c>
      <c r="H29" s="4" t="s">
        <v>94</v>
      </c>
      <c r="I29" s="4" t="s">
        <v>57</v>
      </c>
      <c r="J29" s="4" t="s">
        <v>231</v>
      </c>
      <c r="K29" s="4" t="n">
        <v>29</v>
      </c>
    </row>
    <row r="30" customFormat="false" ht="39.55" hidden="false" customHeight="false" outlineLevel="0" collapsed="false">
      <c r="A30" s="4" t="s">
        <v>50</v>
      </c>
      <c r="B30" s="4" t="s">
        <v>148</v>
      </c>
      <c r="C30" s="5" t="s">
        <v>150</v>
      </c>
      <c r="D30" s="5" t="s">
        <v>149</v>
      </c>
      <c r="E30" s="4" t="s">
        <v>53</v>
      </c>
      <c r="F30" s="4" t="s">
        <v>54</v>
      </c>
      <c r="G30" s="4" t="s">
        <v>137</v>
      </c>
      <c r="H30" s="4" t="s">
        <v>94</v>
      </c>
      <c r="I30" s="4" t="s">
        <v>115</v>
      </c>
      <c r="J30" s="4" t="s">
        <v>58</v>
      </c>
      <c r="K30" s="4" t="n">
        <v>15</v>
      </c>
    </row>
    <row r="31" customFormat="false" ht="39.55" hidden="false" customHeight="false" outlineLevel="0" collapsed="false">
      <c r="A31" s="4" t="s">
        <v>50</v>
      </c>
      <c r="B31" s="4" t="s">
        <v>158</v>
      </c>
      <c r="C31" s="5" t="s">
        <v>160</v>
      </c>
      <c r="D31" s="5" t="s">
        <v>159</v>
      </c>
      <c r="E31" s="4" t="s">
        <v>53</v>
      </c>
      <c r="F31" s="4" t="s">
        <v>54</v>
      </c>
      <c r="G31" s="4" t="s">
        <v>124</v>
      </c>
      <c r="H31" s="4" t="s">
        <v>94</v>
      </c>
      <c r="I31" s="4" t="s">
        <v>95</v>
      </c>
      <c r="J31" s="4" t="s">
        <v>96</v>
      </c>
      <c r="K31" s="4" t="n">
        <v>17</v>
      </c>
    </row>
    <row r="32" customFormat="false" ht="39.55" hidden="false" customHeight="false" outlineLevel="0" collapsed="false">
      <c r="A32" s="4" t="s">
        <v>64</v>
      </c>
      <c r="B32" s="4" t="s">
        <v>63</v>
      </c>
      <c r="C32" s="5" t="s">
        <v>66</v>
      </c>
      <c r="D32" s="5" t="s">
        <v>65</v>
      </c>
      <c r="E32" s="4" t="s">
        <v>53</v>
      </c>
      <c r="F32" s="4" t="s">
        <v>54</v>
      </c>
      <c r="G32" s="4" t="s">
        <v>55</v>
      </c>
      <c r="H32" s="4" t="s">
        <v>56</v>
      </c>
      <c r="I32" s="4" t="s">
        <v>57</v>
      </c>
      <c r="J32" s="4" t="s">
        <v>67</v>
      </c>
      <c r="K32" s="4" t="n">
        <v>2</v>
      </c>
    </row>
    <row r="33" customFormat="false" ht="26.85" hidden="false" customHeight="false" outlineLevel="0" collapsed="false">
      <c r="A33" s="4" t="s">
        <v>64</v>
      </c>
      <c r="B33" s="4" t="s">
        <v>78</v>
      </c>
      <c r="C33" s="5" t="s">
        <v>80</v>
      </c>
      <c r="D33" s="5" t="s">
        <v>79</v>
      </c>
      <c r="E33" s="4" t="s">
        <v>53</v>
      </c>
      <c r="F33" s="4" t="s">
        <v>54</v>
      </c>
      <c r="G33" s="4" t="s">
        <v>63</v>
      </c>
      <c r="H33" s="4" t="s">
        <v>56</v>
      </c>
      <c r="I33" s="4" t="s">
        <v>57</v>
      </c>
      <c r="J33" s="4" t="s">
        <v>58</v>
      </c>
      <c r="K33" s="4" t="n">
        <v>4</v>
      </c>
    </row>
    <row r="34" customFormat="false" ht="39.55" hidden="false" customHeight="false" outlineLevel="0" collapsed="false">
      <c r="A34" s="4" t="s">
        <v>64</v>
      </c>
      <c r="B34" s="4" t="s">
        <v>90</v>
      </c>
      <c r="C34" s="5" t="s">
        <v>92</v>
      </c>
      <c r="D34" s="5" t="s">
        <v>91</v>
      </c>
      <c r="E34" s="4" t="s">
        <v>53</v>
      </c>
      <c r="F34" s="4" t="s">
        <v>54</v>
      </c>
      <c r="G34" s="4" t="s">
        <v>93</v>
      </c>
      <c r="H34" s="4" t="s">
        <v>94</v>
      </c>
      <c r="I34" s="4" t="s">
        <v>95</v>
      </c>
      <c r="J34" s="4" t="s">
        <v>96</v>
      </c>
      <c r="K34" s="4" t="n">
        <v>6</v>
      </c>
    </row>
    <row r="35" customFormat="false" ht="39.55" hidden="false" customHeight="false" outlineLevel="0" collapsed="false">
      <c r="A35" s="4" t="s">
        <v>64</v>
      </c>
      <c r="B35" s="4" t="s">
        <v>104</v>
      </c>
      <c r="C35" s="5" t="s">
        <v>106</v>
      </c>
      <c r="D35" s="5" t="s">
        <v>105</v>
      </c>
      <c r="E35" s="4" t="s">
        <v>53</v>
      </c>
      <c r="F35" s="4" t="s">
        <v>107</v>
      </c>
      <c r="G35" s="4" t="s">
        <v>90</v>
      </c>
      <c r="H35" s="4" t="s">
        <v>94</v>
      </c>
      <c r="I35" s="4" t="s">
        <v>57</v>
      </c>
      <c r="J35" s="4" t="s">
        <v>58</v>
      </c>
      <c r="K35" s="4" t="n">
        <v>8</v>
      </c>
    </row>
    <row r="36" customFormat="false" ht="39.55" hidden="false" customHeight="false" outlineLevel="0" collapsed="false">
      <c r="A36" s="4" t="s">
        <v>64</v>
      </c>
      <c r="B36" s="4" t="s">
        <v>119</v>
      </c>
      <c r="C36" s="5" t="s">
        <v>121</v>
      </c>
      <c r="D36" s="5" t="s">
        <v>120</v>
      </c>
      <c r="E36" s="4" t="s">
        <v>53</v>
      </c>
      <c r="F36" s="4" t="s">
        <v>107</v>
      </c>
      <c r="G36" s="4" t="s">
        <v>104</v>
      </c>
      <c r="H36" s="4" t="s">
        <v>94</v>
      </c>
      <c r="I36" s="4" t="s">
        <v>57</v>
      </c>
      <c r="J36" s="4" t="s">
        <v>58</v>
      </c>
      <c r="K36" s="4" t="n">
        <v>10</v>
      </c>
    </row>
    <row r="37" customFormat="false" ht="39.55" hidden="false" customHeight="false" outlineLevel="0" collapsed="false">
      <c r="A37" s="4" t="s">
        <v>64</v>
      </c>
      <c r="B37" s="4" t="s">
        <v>131</v>
      </c>
      <c r="C37" s="5" t="s">
        <v>133</v>
      </c>
      <c r="D37" s="5" t="s">
        <v>132</v>
      </c>
      <c r="E37" s="4" t="s">
        <v>53</v>
      </c>
      <c r="F37" s="4" t="s">
        <v>54</v>
      </c>
      <c r="G37" s="4" t="s">
        <v>119</v>
      </c>
      <c r="H37" s="4" t="s">
        <v>94</v>
      </c>
      <c r="I37" s="4" t="s">
        <v>95</v>
      </c>
      <c r="J37" s="4" t="s">
        <v>96</v>
      </c>
      <c r="K37" s="4" t="n">
        <v>12</v>
      </c>
    </row>
    <row r="38" customFormat="false" ht="39.55" hidden="false" customHeight="false" outlineLevel="0" collapsed="false">
      <c r="A38" s="4" t="s">
        <v>64</v>
      </c>
      <c r="B38" s="4" t="s">
        <v>142</v>
      </c>
      <c r="C38" s="5" t="s">
        <v>144</v>
      </c>
      <c r="D38" s="5" t="s">
        <v>143</v>
      </c>
      <c r="E38" s="4" t="s">
        <v>53</v>
      </c>
      <c r="F38" s="4" t="s">
        <v>127</v>
      </c>
      <c r="G38" s="4" t="s">
        <v>124</v>
      </c>
      <c r="H38" s="4" t="s">
        <v>94</v>
      </c>
      <c r="I38" s="4" t="s">
        <v>95</v>
      </c>
      <c r="J38" s="4" t="s">
        <v>96</v>
      </c>
      <c r="K38" s="4" t="n">
        <v>14</v>
      </c>
    </row>
    <row r="39" customFormat="false" ht="39.55" hidden="false" customHeight="false" outlineLevel="0" collapsed="false">
      <c r="A39" s="4" t="s">
        <v>64</v>
      </c>
      <c r="B39" s="4" t="s">
        <v>163</v>
      </c>
      <c r="C39" s="5" t="s">
        <v>165</v>
      </c>
      <c r="D39" s="5" t="s">
        <v>164</v>
      </c>
      <c r="E39" s="4" t="s">
        <v>53</v>
      </c>
      <c r="F39" s="4" t="s">
        <v>54</v>
      </c>
      <c r="G39" s="4" t="s">
        <v>63</v>
      </c>
      <c r="H39" s="4" t="s">
        <v>56</v>
      </c>
      <c r="I39" s="4" t="s">
        <v>115</v>
      </c>
      <c r="J39" s="4" t="s">
        <v>67</v>
      </c>
      <c r="K39" s="4" t="n">
        <v>18</v>
      </c>
    </row>
    <row r="40" customFormat="false" ht="26.85" hidden="false" customHeight="false" outlineLevel="0" collapsed="false">
      <c r="A40" s="4" t="s">
        <v>64</v>
      </c>
      <c r="B40" s="4" t="s">
        <v>174</v>
      </c>
      <c r="C40" s="5" t="s">
        <v>176</v>
      </c>
      <c r="D40" s="5" t="s">
        <v>175</v>
      </c>
      <c r="E40" s="4" t="s">
        <v>53</v>
      </c>
      <c r="F40" s="4" t="s">
        <v>54</v>
      </c>
      <c r="G40" s="4" t="s">
        <v>55</v>
      </c>
      <c r="H40" s="4" t="s">
        <v>56</v>
      </c>
      <c r="I40" s="4" t="s">
        <v>115</v>
      </c>
      <c r="J40" s="4" t="s">
        <v>58</v>
      </c>
      <c r="K40" s="4" t="n">
        <v>20</v>
      </c>
    </row>
    <row r="41" customFormat="false" ht="39.55" hidden="false" customHeight="false" outlineLevel="0" collapsed="false">
      <c r="A41" s="4" t="s">
        <v>64</v>
      </c>
      <c r="B41" s="4" t="s">
        <v>185</v>
      </c>
      <c r="C41" s="5" t="s">
        <v>187</v>
      </c>
      <c r="D41" s="5" t="s">
        <v>186</v>
      </c>
      <c r="E41" s="4" t="s">
        <v>53</v>
      </c>
      <c r="F41" s="4" t="s">
        <v>127</v>
      </c>
      <c r="G41" s="4" t="s">
        <v>142</v>
      </c>
      <c r="H41" s="4" t="s">
        <v>94</v>
      </c>
      <c r="I41" s="4" t="s">
        <v>115</v>
      </c>
      <c r="J41" s="4" t="s">
        <v>58</v>
      </c>
      <c r="K41" s="4" t="n">
        <v>22</v>
      </c>
    </row>
    <row r="42" customFormat="false" ht="39.55" hidden="false" customHeight="false" outlineLevel="0" collapsed="false">
      <c r="A42" s="4" t="s">
        <v>64</v>
      </c>
      <c r="B42" s="4" t="s">
        <v>195</v>
      </c>
      <c r="C42" s="5" t="s">
        <v>197</v>
      </c>
      <c r="D42" s="5" t="s">
        <v>196</v>
      </c>
      <c r="E42" s="4" t="s">
        <v>53</v>
      </c>
      <c r="F42" s="4" t="s">
        <v>54</v>
      </c>
      <c r="G42" s="4" t="s">
        <v>185</v>
      </c>
      <c r="H42" s="4" t="s">
        <v>94</v>
      </c>
      <c r="I42" s="4" t="s">
        <v>115</v>
      </c>
      <c r="J42" s="4" t="s">
        <v>58</v>
      </c>
      <c r="K42" s="4" t="n">
        <v>24</v>
      </c>
    </row>
    <row r="43" customFormat="false" ht="26.85" hidden="false" customHeight="false" outlineLevel="0" collapsed="false">
      <c r="A43" s="4" t="s">
        <v>64</v>
      </c>
      <c r="B43" s="4" t="s">
        <v>203</v>
      </c>
      <c r="C43" s="5" t="s">
        <v>205</v>
      </c>
      <c r="D43" s="5" t="s">
        <v>204</v>
      </c>
      <c r="E43" s="4" t="s">
        <v>53</v>
      </c>
      <c r="F43" s="4" t="s">
        <v>107</v>
      </c>
      <c r="G43" s="4" t="s">
        <v>206</v>
      </c>
      <c r="H43" s="4" t="s">
        <v>94</v>
      </c>
      <c r="I43" s="4" t="s">
        <v>57</v>
      </c>
      <c r="J43" s="4" t="s">
        <v>67</v>
      </c>
      <c r="K43" s="4" t="n">
        <v>26</v>
      </c>
    </row>
    <row r="44" customFormat="false" ht="26.85" hidden="false" customHeight="false" outlineLevel="0" collapsed="false">
      <c r="A44" s="4" t="s">
        <v>64</v>
      </c>
      <c r="B44" s="4" t="s">
        <v>241</v>
      </c>
      <c r="C44" s="5" t="s">
        <v>243</v>
      </c>
      <c r="D44" s="5" t="s">
        <v>242</v>
      </c>
      <c r="E44" s="4" t="s">
        <v>53</v>
      </c>
      <c r="F44" s="4" t="s">
        <v>127</v>
      </c>
      <c r="G44" s="4" t="s">
        <v>241</v>
      </c>
      <c r="H44" s="4" t="s">
        <v>56</v>
      </c>
      <c r="I44" s="4" t="s">
        <v>57</v>
      </c>
      <c r="J44" s="4" t="s">
        <v>58</v>
      </c>
      <c r="K44" s="4" t="n">
        <v>31</v>
      </c>
    </row>
    <row r="45" customFormat="false" ht="39.55" hidden="false" customHeight="false" outlineLevel="0" collapsed="false">
      <c r="A45" s="4" t="s">
        <v>64</v>
      </c>
      <c r="B45" s="4" t="s">
        <v>262</v>
      </c>
      <c r="C45" s="5" t="s">
        <v>264</v>
      </c>
      <c r="D45" s="5" t="s">
        <v>263</v>
      </c>
      <c r="E45" s="4" t="s">
        <v>53</v>
      </c>
      <c r="F45" s="4" t="s">
        <v>127</v>
      </c>
      <c r="G45" s="4" t="s">
        <v>262</v>
      </c>
      <c r="H45" s="4" t="s">
        <v>56</v>
      </c>
      <c r="I45" s="4" t="s">
        <v>57</v>
      </c>
      <c r="J45" s="4" t="s">
        <v>67</v>
      </c>
      <c r="K45" s="4" t="n">
        <v>35</v>
      </c>
    </row>
    <row r="46" customFormat="false" ht="39.55" hidden="false" customHeight="false" outlineLevel="0" collapsed="false">
      <c r="A46" s="4" t="s">
        <v>64</v>
      </c>
      <c r="B46" s="4" t="s">
        <v>284</v>
      </c>
      <c r="C46" s="5" t="s">
        <v>286</v>
      </c>
      <c r="D46" s="5" t="s">
        <v>285</v>
      </c>
      <c r="E46" s="4" t="s">
        <v>53</v>
      </c>
      <c r="F46" s="4" t="s">
        <v>127</v>
      </c>
      <c r="G46" s="4" t="s">
        <v>241</v>
      </c>
      <c r="H46" s="4" t="s">
        <v>114</v>
      </c>
      <c r="I46" s="4" t="s">
        <v>57</v>
      </c>
      <c r="J46" s="4" t="s">
        <v>58</v>
      </c>
      <c r="K46" s="4" t="n">
        <v>39</v>
      </c>
    </row>
    <row r="47" customFormat="false" ht="39.55" hidden="false" customHeight="false" outlineLevel="0" collapsed="false">
      <c r="A47" s="4" t="s">
        <v>64</v>
      </c>
      <c r="B47" s="4" t="s">
        <v>314</v>
      </c>
      <c r="C47" s="5" t="s">
        <v>316</v>
      </c>
      <c r="D47" s="5" t="s">
        <v>315</v>
      </c>
      <c r="E47" s="4" t="s">
        <v>53</v>
      </c>
      <c r="F47" s="4" t="s">
        <v>127</v>
      </c>
      <c r="G47" s="4" t="s">
        <v>241</v>
      </c>
      <c r="H47" s="4" t="s">
        <v>56</v>
      </c>
      <c r="I47" s="4" t="s">
        <v>57</v>
      </c>
      <c r="J47" s="4" t="s">
        <v>67</v>
      </c>
      <c r="K47" s="4" t="n">
        <v>44</v>
      </c>
    </row>
    <row r="48" customFormat="false" ht="39.55" hidden="false" customHeight="false" outlineLevel="0" collapsed="false">
      <c r="A48" s="4" t="s">
        <v>64</v>
      </c>
      <c r="B48" s="4" t="s">
        <v>335</v>
      </c>
      <c r="C48" s="5" t="s">
        <v>337</v>
      </c>
      <c r="D48" s="5" t="s">
        <v>336</v>
      </c>
      <c r="E48" s="4" t="s">
        <v>53</v>
      </c>
      <c r="F48" s="4" t="s">
        <v>127</v>
      </c>
      <c r="G48" s="4" t="s">
        <v>63</v>
      </c>
      <c r="H48" s="4" t="s">
        <v>114</v>
      </c>
      <c r="I48" s="4" t="s">
        <v>115</v>
      </c>
      <c r="J48" s="4" t="s">
        <v>58</v>
      </c>
      <c r="K48" s="4" t="n">
        <v>48</v>
      </c>
    </row>
    <row r="49" customFormat="false" ht="39.55" hidden="false" customHeight="false" outlineLevel="0" collapsed="false">
      <c r="A49" s="4" t="s">
        <v>64</v>
      </c>
      <c r="B49" s="4" t="s">
        <v>367</v>
      </c>
      <c r="C49" s="5" t="s">
        <v>369</v>
      </c>
      <c r="D49" s="5" t="s">
        <v>368</v>
      </c>
      <c r="E49" s="4" t="s">
        <v>53</v>
      </c>
      <c r="F49" s="4" t="s">
        <v>107</v>
      </c>
      <c r="G49" s="4" t="s">
        <v>370</v>
      </c>
      <c r="H49" s="4" t="s">
        <v>94</v>
      </c>
      <c r="I49" s="4" t="s">
        <v>115</v>
      </c>
      <c r="J49" s="4" t="s">
        <v>231</v>
      </c>
      <c r="K49" s="4" t="n">
        <v>54</v>
      </c>
    </row>
    <row r="50" customFormat="false" ht="39.55" hidden="false" customHeight="false" outlineLevel="0" collapsed="false">
      <c r="A50" s="4" t="s">
        <v>64</v>
      </c>
      <c r="B50" s="4" t="s">
        <v>387</v>
      </c>
      <c r="C50" s="5" t="s">
        <v>389</v>
      </c>
      <c r="D50" s="5" t="s">
        <v>388</v>
      </c>
      <c r="E50" s="4" t="s">
        <v>53</v>
      </c>
      <c r="F50" s="4" t="s">
        <v>127</v>
      </c>
      <c r="G50" s="4" t="s">
        <v>174</v>
      </c>
      <c r="H50" s="4" t="s">
        <v>94</v>
      </c>
      <c r="I50" s="4" t="s">
        <v>115</v>
      </c>
      <c r="J50" s="4" t="s">
        <v>231</v>
      </c>
      <c r="K50" s="4" t="n">
        <v>58</v>
      </c>
    </row>
    <row r="51" customFormat="false" ht="39.55" hidden="false" customHeight="false" outlineLevel="0" collapsed="false">
      <c r="A51" s="4" t="s">
        <v>64</v>
      </c>
      <c r="B51" s="4" t="s">
        <v>409</v>
      </c>
      <c r="C51" s="5" t="s">
        <v>411</v>
      </c>
      <c r="D51" s="5" t="s">
        <v>410</v>
      </c>
      <c r="E51" s="4" t="s">
        <v>53</v>
      </c>
      <c r="F51" s="4" t="s">
        <v>127</v>
      </c>
      <c r="G51" s="4" t="s">
        <v>262</v>
      </c>
      <c r="H51" s="4" t="s">
        <v>56</v>
      </c>
      <c r="I51" s="4" t="s">
        <v>57</v>
      </c>
      <c r="J51" s="4" t="s">
        <v>58</v>
      </c>
      <c r="K51" s="4" t="n">
        <v>62</v>
      </c>
    </row>
    <row r="52" customFormat="false" ht="39.55" hidden="false" customHeight="false" outlineLevel="0" collapsed="false">
      <c r="A52" s="4" t="s">
        <v>64</v>
      </c>
      <c r="B52" s="4" t="s">
        <v>438</v>
      </c>
      <c r="C52" s="5" t="s">
        <v>440</v>
      </c>
      <c r="D52" s="5" t="s">
        <v>439</v>
      </c>
      <c r="E52" s="4" t="s">
        <v>53</v>
      </c>
      <c r="F52" s="4" t="s">
        <v>127</v>
      </c>
      <c r="G52" s="4" t="s">
        <v>104</v>
      </c>
      <c r="H52" s="4" t="s">
        <v>94</v>
      </c>
      <c r="I52" s="4" t="s">
        <v>115</v>
      </c>
      <c r="J52" s="4" t="s">
        <v>67</v>
      </c>
      <c r="K52" s="4" t="n">
        <v>67</v>
      </c>
    </row>
    <row r="53" customFormat="false" ht="39.55" hidden="false" customHeight="false" outlineLevel="0" collapsed="false">
      <c r="A53" s="4" t="s">
        <v>64</v>
      </c>
      <c r="B53" s="4" t="s">
        <v>458</v>
      </c>
      <c r="C53" s="5" t="s">
        <v>460</v>
      </c>
      <c r="D53" s="5" t="s">
        <v>459</v>
      </c>
      <c r="E53" s="4" t="s">
        <v>53</v>
      </c>
      <c r="F53" s="4" t="s">
        <v>127</v>
      </c>
      <c r="G53" s="4" t="s">
        <v>284</v>
      </c>
      <c r="H53" s="4" t="s">
        <v>94</v>
      </c>
      <c r="I53" s="4" t="s">
        <v>95</v>
      </c>
      <c r="J53" s="4" t="s">
        <v>96</v>
      </c>
      <c r="K53" s="4" t="n">
        <v>71</v>
      </c>
    </row>
    <row r="54" customFormat="false" ht="39.55" hidden="false" customHeight="false" outlineLevel="0" collapsed="false">
      <c r="A54" s="4" t="s">
        <v>64</v>
      </c>
      <c r="B54" s="4" t="s">
        <v>479</v>
      </c>
      <c r="C54" s="5" t="s">
        <v>481</v>
      </c>
      <c r="D54" s="5" t="s">
        <v>480</v>
      </c>
      <c r="E54" s="4" t="s">
        <v>53</v>
      </c>
      <c r="F54" s="4" t="s">
        <v>127</v>
      </c>
      <c r="G54" s="4" t="s">
        <v>314</v>
      </c>
      <c r="H54" s="4" t="s">
        <v>94</v>
      </c>
      <c r="I54" s="4" t="s">
        <v>115</v>
      </c>
      <c r="J54" s="4" t="s">
        <v>58</v>
      </c>
      <c r="K54" s="4" t="n">
        <v>75</v>
      </c>
    </row>
    <row r="55" customFormat="false" ht="39.55" hidden="false" customHeight="false" outlineLevel="0" collapsed="false">
      <c r="A55" s="4" t="s">
        <v>64</v>
      </c>
      <c r="B55" s="4" t="s">
        <v>499</v>
      </c>
      <c r="C55" s="5" t="s">
        <v>501</v>
      </c>
      <c r="D55" s="5" t="s">
        <v>500</v>
      </c>
      <c r="E55" s="4" t="s">
        <v>53</v>
      </c>
      <c r="F55" s="4" t="s">
        <v>127</v>
      </c>
      <c r="G55" s="4" t="s">
        <v>119</v>
      </c>
      <c r="H55" s="4" t="s">
        <v>94</v>
      </c>
      <c r="I55" s="4" t="s">
        <v>57</v>
      </c>
      <c r="J55" s="4" t="s">
        <v>231</v>
      </c>
      <c r="K55" s="4" t="n">
        <v>79</v>
      </c>
    </row>
    <row r="56" customFormat="false" ht="26.85" hidden="false" customHeight="false" outlineLevel="0" collapsed="false">
      <c r="A56" s="4" t="s">
        <v>64</v>
      </c>
      <c r="B56" s="4" t="s">
        <v>302</v>
      </c>
      <c r="C56" s="5" t="s">
        <v>304</v>
      </c>
      <c r="D56" s="5" t="s">
        <v>303</v>
      </c>
      <c r="E56" s="4" t="s">
        <v>228</v>
      </c>
      <c r="F56" s="4" t="s">
        <v>229</v>
      </c>
      <c r="G56" s="4" t="s">
        <v>305</v>
      </c>
      <c r="H56" s="4" t="s">
        <v>94</v>
      </c>
      <c r="I56" s="4" t="s">
        <v>57</v>
      </c>
      <c r="J56" s="4" t="s">
        <v>67</v>
      </c>
      <c r="K56" s="4" t="n">
        <v>42</v>
      </c>
    </row>
    <row r="57" customFormat="false" ht="39.55" hidden="false" customHeight="false" outlineLevel="0" collapsed="false">
      <c r="A57" s="4" t="s">
        <v>64</v>
      </c>
      <c r="B57" s="4" t="s">
        <v>153</v>
      </c>
      <c r="C57" s="5" t="s">
        <v>155</v>
      </c>
      <c r="D57" s="5" t="s">
        <v>154</v>
      </c>
      <c r="E57" s="4" t="s">
        <v>53</v>
      </c>
      <c r="F57" s="4" t="s">
        <v>54</v>
      </c>
      <c r="G57" s="4" t="s">
        <v>90</v>
      </c>
      <c r="H57" s="4" t="s">
        <v>94</v>
      </c>
      <c r="I57" s="4" t="s">
        <v>95</v>
      </c>
      <c r="J57" s="4" t="s">
        <v>96</v>
      </c>
      <c r="K57" s="4" t="n">
        <v>16</v>
      </c>
    </row>
    <row r="58" customFormat="false" ht="26.85" hidden="false" customHeight="false" outlineLevel="0" collapsed="false">
      <c r="A58" s="4" t="s">
        <v>210</v>
      </c>
      <c r="B58" s="4" t="s">
        <v>209</v>
      </c>
      <c r="C58" s="5" t="s">
        <v>212</v>
      </c>
      <c r="D58" s="5" t="s">
        <v>211</v>
      </c>
      <c r="E58" s="4" t="s">
        <v>53</v>
      </c>
      <c r="F58" s="4" t="s">
        <v>54</v>
      </c>
      <c r="G58" s="4" t="s">
        <v>55</v>
      </c>
      <c r="H58" s="4" t="s">
        <v>213</v>
      </c>
      <c r="I58" s="4" t="s">
        <v>57</v>
      </c>
      <c r="J58" s="4" t="s">
        <v>58</v>
      </c>
      <c r="K58" s="4" t="n">
        <v>27</v>
      </c>
    </row>
    <row r="59" customFormat="false" ht="26.85" hidden="false" customHeight="false" outlineLevel="0" collapsed="false">
      <c r="A59" s="4" t="s">
        <v>210</v>
      </c>
      <c r="B59" s="4" t="s">
        <v>247</v>
      </c>
      <c r="C59" s="5" t="s">
        <v>249</v>
      </c>
      <c r="D59" s="5" t="s">
        <v>248</v>
      </c>
      <c r="E59" s="4" t="s">
        <v>74</v>
      </c>
      <c r="F59" s="4" t="s">
        <v>54</v>
      </c>
      <c r="G59" s="4" t="s">
        <v>209</v>
      </c>
      <c r="H59" s="4" t="s">
        <v>94</v>
      </c>
      <c r="I59" s="4" t="s">
        <v>57</v>
      </c>
      <c r="J59" s="4" t="s">
        <v>67</v>
      </c>
      <c r="K59" s="4" t="n">
        <v>32</v>
      </c>
    </row>
    <row r="60" customFormat="false" ht="26.85" hidden="false" customHeight="false" outlineLevel="0" collapsed="false">
      <c r="A60" s="4" t="s">
        <v>210</v>
      </c>
      <c r="B60" s="4" t="s">
        <v>267</v>
      </c>
      <c r="C60" s="5" t="s">
        <v>269</v>
      </c>
      <c r="D60" s="5" t="s">
        <v>268</v>
      </c>
      <c r="E60" s="4" t="s">
        <v>53</v>
      </c>
      <c r="F60" s="4" t="s">
        <v>54</v>
      </c>
      <c r="G60" s="4" t="s">
        <v>247</v>
      </c>
      <c r="H60" s="4" t="s">
        <v>213</v>
      </c>
      <c r="I60" s="4" t="s">
        <v>115</v>
      </c>
      <c r="J60" s="4" t="s">
        <v>67</v>
      </c>
      <c r="K60" s="4" t="n">
        <v>36</v>
      </c>
    </row>
    <row r="61" customFormat="false" ht="26.85" hidden="false" customHeight="false" outlineLevel="0" collapsed="false">
      <c r="A61" s="4" t="s">
        <v>210</v>
      </c>
      <c r="B61" s="4" t="s">
        <v>290</v>
      </c>
      <c r="C61" s="5" t="s">
        <v>292</v>
      </c>
      <c r="D61" s="5" t="s">
        <v>291</v>
      </c>
      <c r="E61" s="4" t="s">
        <v>53</v>
      </c>
      <c r="F61" s="4" t="s">
        <v>54</v>
      </c>
      <c r="G61" s="4" t="s">
        <v>247</v>
      </c>
      <c r="H61" s="4" t="s">
        <v>94</v>
      </c>
      <c r="I61" s="4" t="s">
        <v>115</v>
      </c>
      <c r="J61" s="4" t="s">
        <v>58</v>
      </c>
      <c r="K61" s="4" t="n">
        <v>40</v>
      </c>
    </row>
    <row r="62" customFormat="false" ht="26.85" hidden="false" customHeight="false" outlineLevel="0" collapsed="false">
      <c r="A62" s="4" t="s">
        <v>210</v>
      </c>
      <c r="B62" s="4" t="s">
        <v>319</v>
      </c>
      <c r="C62" s="5" t="s">
        <v>321</v>
      </c>
      <c r="D62" s="5" t="s">
        <v>320</v>
      </c>
      <c r="E62" s="4" t="s">
        <v>53</v>
      </c>
      <c r="F62" s="4" t="s">
        <v>127</v>
      </c>
      <c r="G62" s="4" t="s">
        <v>290</v>
      </c>
      <c r="H62" s="4" t="s">
        <v>94</v>
      </c>
      <c r="I62" s="4" t="s">
        <v>115</v>
      </c>
      <c r="J62" s="4" t="s">
        <v>58</v>
      </c>
      <c r="K62" s="4" t="n">
        <v>45</v>
      </c>
    </row>
    <row r="63" customFormat="false" ht="26.85" hidden="false" customHeight="false" outlineLevel="0" collapsed="false">
      <c r="A63" s="4" t="s">
        <v>210</v>
      </c>
      <c r="B63" s="4" t="s">
        <v>341</v>
      </c>
      <c r="C63" s="5" t="s">
        <v>343</v>
      </c>
      <c r="D63" s="5" t="s">
        <v>342</v>
      </c>
      <c r="E63" s="4" t="s">
        <v>74</v>
      </c>
      <c r="F63" s="4" t="s">
        <v>127</v>
      </c>
      <c r="G63" s="4" t="s">
        <v>247</v>
      </c>
      <c r="H63" s="4" t="s">
        <v>94</v>
      </c>
      <c r="I63" s="4" t="s">
        <v>115</v>
      </c>
      <c r="J63" s="4" t="s">
        <v>58</v>
      </c>
      <c r="K63" s="4" t="n">
        <v>49</v>
      </c>
    </row>
    <row r="64" customFormat="false" ht="26.85" hidden="false" customHeight="false" outlineLevel="0" collapsed="false">
      <c r="A64" s="4" t="s">
        <v>210</v>
      </c>
      <c r="B64" s="4" t="s">
        <v>356</v>
      </c>
      <c r="C64" s="5" t="s">
        <v>358</v>
      </c>
      <c r="D64" s="5" t="s">
        <v>357</v>
      </c>
      <c r="E64" s="4" t="s">
        <v>53</v>
      </c>
      <c r="F64" s="4" t="s">
        <v>127</v>
      </c>
      <c r="G64" s="4" t="s">
        <v>267</v>
      </c>
      <c r="H64" s="4" t="s">
        <v>94</v>
      </c>
      <c r="I64" s="4" t="s">
        <v>95</v>
      </c>
      <c r="J64" s="4" t="s">
        <v>96</v>
      </c>
      <c r="K64" s="4" t="n">
        <v>52</v>
      </c>
    </row>
    <row r="65" customFormat="false" ht="26.85" hidden="false" customHeight="false" outlineLevel="0" collapsed="false">
      <c r="A65" s="4" t="s">
        <v>210</v>
      </c>
      <c r="B65" s="4" t="s">
        <v>378</v>
      </c>
      <c r="C65" s="5" t="s">
        <v>380</v>
      </c>
      <c r="D65" s="5" t="s">
        <v>379</v>
      </c>
      <c r="E65" s="4" t="s">
        <v>53</v>
      </c>
      <c r="F65" s="4" t="s">
        <v>127</v>
      </c>
      <c r="G65" s="4" t="s">
        <v>341</v>
      </c>
      <c r="H65" s="4" t="s">
        <v>94</v>
      </c>
      <c r="I65" s="4" t="s">
        <v>381</v>
      </c>
      <c r="J65" s="4" t="s">
        <v>96</v>
      </c>
      <c r="K65" s="4" t="n">
        <v>56</v>
      </c>
    </row>
    <row r="66" customFormat="false" ht="26.85" hidden="false" customHeight="false" outlineLevel="0" collapsed="false">
      <c r="A66" s="4" t="s">
        <v>210</v>
      </c>
      <c r="B66" s="4" t="s">
        <v>399</v>
      </c>
      <c r="C66" s="5" t="s">
        <v>401</v>
      </c>
      <c r="D66" s="5" t="s">
        <v>400</v>
      </c>
      <c r="E66" s="4" t="s">
        <v>53</v>
      </c>
      <c r="F66" s="4" t="s">
        <v>127</v>
      </c>
      <c r="G66" s="4" t="s">
        <v>378</v>
      </c>
      <c r="H66" s="4" t="s">
        <v>94</v>
      </c>
      <c r="I66" s="4" t="s">
        <v>95</v>
      </c>
      <c r="J66" s="4" t="s">
        <v>96</v>
      </c>
      <c r="K66" s="4" t="n">
        <v>60</v>
      </c>
    </row>
    <row r="67" customFormat="false" ht="26.85" hidden="false" customHeight="false" outlineLevel="0" collapsed="false">
      <c r="A67" s="4" t="s">
        <v>210</v>
      </c>
      <c r="B67" s="4" t="s">
        <v>430</v>
      </c>
      <c r="C67" s="5" t="s">
        <v>432</v>
      </c>
      <c r="D67" s="5" t="s">
        <v>431</v>
      </c>
      <c r="E67" s="4" t="s">
        <v>53</v>
      </c>
      <c r="F67" s="4" t="s">
        <v>127</v>
      </c>
      <c r="G67" s="4" t="s">
        <v>378</v>
      </c>
      <c r="H67" s="4" t="s">
        <v>94</v>
      </c>
      <c r="I67" s="4" t="s">
        <v>95</v>
      </c>
      <c r="J67" s="4" t="s">
        <v>96</v>
      </c>
      <c r="K67" s="4" t="n">
        <v>65</v>
      </c>
    </row>
    <row r="68" customFormat="false" ht="26.85" hidden="false" customHeight="false" outlineLevel="0" collapsed="false">
      <c r="A68" s="4" t="s">
        <v>210</v>
      </c>
      <c r="B68" s="4" t="s">
        <v>448</v>
      </c>
      <c r="C68" s="5" t="s">
        <v>450</v>
      </c>
      <c r="D68" s="5" t="s">
        <v>449</v>
      </c>
      <c r="E68" s="4" t="s">
        <v>53</v>
      </c>
      <c r="F68" s="4" t="s">
        <v>54</v>
      </c>
      <c r="G68" s="4" t="s">
        <v>290</v>
      </c>
      <c r="H68" s="4" t="s">
        <v>94</v>
      </c>
      <c r="I68" s="4" t="s">
        <v>95</v>
      </c>
      <c r="J68" s="4" t="s">
        <v>96</v>
      </c>
      <c r="K68" s="4" t="n">
        <v>69</v>
      </c>
    </row>
    <row r="69" customFormat="false" ht="26.85" hidden="false" customHeight="false" outlineLevel="0" collapsed="false">
      <c r="A69" s="4" t="s">
        <v>210</v>
      </c>
      <c r="B69" s="4" t="s">
        <v>468</v>
      </c>
      <c r="C69" s="5" t="s">
        <v>470</v>
      </c>
      <c r="D69" s="5" t="s">
        <v>469</v>
      </c>
      <c r="E69" s="4" t="s">
        <v>53</v>
      </c>
      <c r="F69" s="4" t="s">
        <v>54</v>
      </c>
      <c r="G69" s="4" t="s">
        <v>471</v>
      </c>
      <c r="H69" s="4" t="s">
        <v>94</v>
      </c>
      <c r="I69" s="4" t="s">
        <v>115</v>
      </c>
      <c r="J69" s="4" t="s">
        <v>67</v>
      </c>
      <c r="K69" s="4" t="n">
        <v>73</v>
      </c>
    </row>
    <row r="70" customFormat="false" ht="26.85" hidden="false" customHeight="false" outlineLevel="0" collapsed="false">
      <c r="A70" s="4" t="s">
        <v>210</v>
      </c>
      <c r="B70" s="4" t="s">
        <v>490</v>
      </c>
      <c r="C70" s="5" t="s">
        <v>491</v>
      </c>
      <c r="D70" s="5" t="s">
        <v>469</v>
      </c>
      <c r="E70" s="4" t="s">
        <v>53</v>
      </c>
      <c r="F70" s="4" t="s">
        <v>127</v>
      </c>
      <c r="G70" s="4" t="s">
        <v>341</v>
      </c>
      <c r="H70" s="4" t="s">
        <v>94</v>
      </c>
      <c r="I70" s="4" t="s">
        <v>95</v>
      </c>
      <c r="J70" s="4" t="s">
        <v>96</v>
      </c>
      <c r="K70" s="4" t="n">
        <v>77</v>
      </c>
    </row>
    <row r="71" customFormat="false" ht="26.85" hidden="false" customHeight="false" outlineLevel="0" collapsed="false">
      <c r="A71" s="4" t="s">
        <v>210</v>
      </c>
      <c r="B71" s="4" t="s">
        <v>505</v>
      </c>
      <c r="C71" s="5" t="s">
        <v>507</v>
      </c>
      <c r="D71" s="5" t="s">
        <v>506</v>
      </c>
      <c r="E71" s="4" t="s">
        <v>228</v>
      </c>
      <c r="F71" s="4" t="s">
        <v>419</v>
      </c>
      <c r="G71" s="4" t="s">
        <v>508</v>
      </c>
      <c r="H71" s="4" t="s">
        <v>94</v>
      </c>
      <c r="I71" s="4" t="s">
        <v>95</v>
      </c>
      <c r="J71" s="4" t="s">
        <v>96</v>
      </c>
      <c r="K71" s="4" t="n">
        <v>80</v>
      </c>
    </row>
    <row r="72" customFormat="false" ht="39.55" hidden="false" customHeight="false" outlineLevel="0" collapsed="false">
      <c r="A72" s="4" t="s">
        <v>218</v>
      </c>
      <c r="B72" s="4" t="s">
        <v>217</v>
      </c>
      <c r="C72" s="5" t="s">
        <v>220</v>
      </c>
      <c r="D72" s="5" t="s">
        <v>219</v>
      </c>
      <c r="E72" s="4" t="s">
        <v>53</v>
      </c>
      <c r="F72" s="4" t="s">
        <v>127</v>
      </c>
      <c r="G72" s="4" t="s">
        <v>221</v>
      </c>
      <c r="H72" s="4" t="s">
        <v>94</v>
      </c>
      <c r="I72" s="4" t="s">
        <v>57</v>
      </c>
      <c r="J72" s="4" t="s">
        <v>58</v>
      </c>
      <c r="K72" s="4" t="n">
        <v>28</v>
      </c>
    </row>
    <row r="73" customFormat="false" ht="39.55" hidden="false" customHeight="false" outlineLevel="0" collapsed="false">
      <c r="A73" s="4" t="s">
        <v>218</v>
      </c>
      <c r="B73" s="4" t="s">
        <v>253</v>
      </c>
      <c r="C73" s="5" t="s">
        <v>255</v>
      </c>
      <c r="D73" s="5" t="s">
        <v>254</v>
      </c>
      <c r="E73" s="4" t="s">
        <v>53</v>
      </c>
      <c r="F73" s="4" t="s">
        <v>54</v>
      </c>
      <c r="G73" s="4" t="s">
        <v>217</v>
      </c>
      <c r="H73" s="4" t="s">
        <v>94</v>
      </c>
      <c r="I73" s="4" t="s">
        <v>115</v>
      </c>
      <c r="J73" s="4" t="s">
        <v>58</v>
      </c>
      <c r="K73" s="4" t="n">
        <v>33</v>
      </c>
    </row>
    <row r="74" customFormat="false" ht="26.85" hidden="false" customHeight="false" outlineLevel="0" collapsed="false">
      <c r="A74" s="4" t="s">
        <v>218</v>
      </c>
      <c r="B74" s="4" t="s">
        <v>273</v>
      </c>
      <c r="C74" s="5" t="s">
        <v>275</v>
      </c>
      <c r="D74" s="5" t="s">
        <v>274</v>
      </c>
      <c r="E74" s="4" t="s">
        <v>53</v>
      </c>
      <c r="F74" s="4" t="s">
        <v>127</v>
      </c>
      <c r="G74" s="4" t="s">
        <v>217</v>
      </c>
      <c r="H74" s="4" t="s">
        <v>94</v>
      </c>
      <c r="I74" s="4" t="s">
        <v>57</v>
      </c>
      <c r="J74" s="4" t="s">
        <v>58</v>
      </c>
      <c r="K74" s="4" t="n">
        <v>37</v>
      </c>
    </row>
    <row r="75" customFormat="false" ht="39.55" hidden="false" customHeight="false" outlineLevel="0" collapsed="false">
      <c r="A75" s="4" t="s">
        <v>218</v>
      </c>
      <c r="B75" s="4" t="s">
        <v>296</v>
      </c>
      <c r="C75" s="5" t="s">
        <v>298</v>
      </c>
      <c r="D75" s="5" t="s">
        <v>297</v>
      </c>
      <c r="E75" s="4" t="s">
        <v>53</v>
      </c>
      <c r="F75" s="4" t="s">
        <v>127</v>
      </c>
      <c r="G75" s="4" t="s">
        <v>217</v>
      </c>
      <c r="H75" s="4" t="s">
        <v>94</v>
      </c>
      <c r="I75" s="4" t="s">
        <v>115</v>
      </c>
      <c r="J75" s="4" t="s">
        <v>67</v>
      </c>
      <c r="K75" s="4" t="n">
        <v>41</v>
      </c>
    </row>
    <row r="76" customFormat="false" ht="39.55" hidden="false" customHeight="false" outlineLevel="0" collapsed="false">
      <c r="A76" s="4" t="s">
        <v>218</v>
      </c>
      <c r="B76" s="4" t="s">
        <v>324</v>
      </c>
      <c r="C76" s="5" t="s">
        <v>326</v>
      </c>
      <c r="D76" s="5" t="s">
        <v>325</v>
      </c>
      <c r="E76" s="4" t="s">
        <v>53</v>
      </c>
      <c r="F76" s="4" t="s">
        <v>54</v>
      </c>
      <c r="G76" s="4" t="s">
        <v>296</v>
      </c>
      <c r="H76" s="4" t="s">
        <v>94</v>
      </c>
      <c r="I76" s="4" t="s">
        <v>95</v>
      </c>
      <c r="J76" s="4" t="s">
        <v>96</v>
      </c>
      <c r="K76" s="4" t="n">
        <v>46</v>
      </c>
    </row>
    <row r="77" customFormat="false" ht="39.55" hidden="false" customHeight="false" outlineLevel="0" collapsed="false">
      <c r="A77" s="4" t="s">
        <v>218</v>
      </c>
      <c r="B77" s="4" t="s">
        <v>346</v>
      </c>
      <c r="C77" s="5" t="s">
        <v>348</v>
      </c>
      <c r="D77" s="5" t="s">
        <v>347</v>
      </c>
      <c r="E77" s="4" t="s">
        <v>53</v>
      </c>
      <c r="F77" s="4" t="s">
        <v>54</v>
      </c>
      <c r="G77" s="4" t="s">
        <v>273</v>
      </c>
      <c r="H77" s="4" t="s">
        <v>94</v>
      </c>
      <c r="I77" s="4" t="s">
        <v>115</v>
      </c>
      <c r="J77" s="4" t="s">
        <v>67</v>
      </c>
      <c r="K77" s="4" t="n">
        <v>50</v>
      </c>
    </row>
    <row r="78" customFormat="false" ht="26.85" hidden="false" customHeight="false" outlineLevel="0" collapsed="false">
      <c r="A78" s="4" t="s">
        <v>218</v>
      </c>
      <c r="B78" s="4" t="s">
        <v>351</v>
      </c>
      <c r="C78" s="5" t="s">
        <v>353</v>
      </c>
      <c r="D78" s="5" t="s">
        <v>352</v>
      </c>
      <c r="E78" s="4" t="s">
        <v>53</v>
      </c>
      <c r="F78" s="4" t="s">
        <v>54</v>
      </c>
      <c r="G78" s="4" t="s">
        <v>296</v>
      </c>
      <c r="H78" s="4" t="s">
        <v>94</v>
      </c>
      <c r="I78" s="4" t="s">
        <v>115</v>
      </c>
      <c r="J78" s="4" t="s">
        <v>58</v>
      </c>
      <c r="K78" s="4" t="n">
        <v>51</v>
      </c>
    </row>
    <row r="79" customFormat="false" ht="26.85" hidden="false" customHeight="false" outlineLevel="0" collapsed="false">
      <c r="A79" s="4" t="s">
        <v>218</v>
      </c>
      <c r="B79" s="4" t="s">
        <v>373</v>
      </c>
      <c r="C79" s="5" t="s">
        <v>375</v>
      </c>
      <c r="D79" s="5" t="s">
        <v>374</v>
      </c>
      <c r="E79" s="4" t="s">
        <v>53</v>
      </c>
      <c r="F79" s="4" t="s">
        <v>127</v>
      </c>
      <c r="G79" s="4" t="s">
        <v>296</v>
      </c>
      <c r="H79" s="4" t="s">
        <v>94</v>
      </c>
      <c r="I79" s="4" t="s">
        <v>95</v>
      </c>
      <c r="J79" s="4" t="s">
        <v>96</v>
      </c>
      <c r="K79" s="4" t="n">
        <v>55</v>
      </c>
    </row>
    <row r="80" customFormat="false" ht="26.85" hidden="false" customHeight="false" outlineLevel="0" collapsed="false">
      <c r="A80" s="4" t="s">
        <v>218</v>
      </c>
      <c r="B80" s="4" t="s">
        <v>393</v>
      </c>
      <c r="C80" s="5" t="s">
        <v>395</v>
      </c>
      <c r="D80" s="5" t="s">
        <v>394</v>
      </c>
      <c r="E80" s="4" t="s">
        <v>53</v>
      </c>
      <c r="F80" s="4" t="s">
        <v>127</v>
      </c>
      <c r="G80" s="4" t="s">
        <v>373</v>
      </c>
      <c r="H80" s="4" t="s">
        <v>94</v>
      </c>
      <c r="I80" s="4" t="s">
        <v>115</v>
      </c>
      <c r="J80" s="4" t="s">
        <v>58</v>
      </c>
      <c r="K80" s="4" t="n">
        <v>59</v>
      </c>
    </row>
    <row r="81" customFormat="false" ht="26.85" hidden="false" customHeight="false" outlineLevel="0" collapsed="false">
      <c r="A81" s="4" t="s">
        <v>218</v>
      </c>
      <c r="B81" s="4" t="s">
        <v>425</v>
      </c>
      <c r="C81" s="5" t="s">
        <v>427</v>
      </c>
      <c r="D81" s="5" t="s">
        <v>426</v>
      </c>
      <c r="E81" s="4" t="s">
        <v>53</v>
      </c>
      <c r="F81" s="4" t="s">
        <v>127</v>
      </c>
      <c r="G81" s="4" t="s">
        <v>393</v>
      </c>
      <c r="H81" s="4" t="s">
        <v>94</v>
      </c>
      <c r="I81" s="4" t="s">
        <v>57</v>
      </c>
      <c r="J81" s="4" t="s">
        <v>58</v>
      </c>
      <c r="K81" s="4" t="n">
        <v>64</v>
      </c>
    </row>
    <row r="82" customFormat="false" ht="26.85" hidden="false" customHeight="false" outlineLevel="0" collapsed="false">
      <c r="A82" s="4" t="s">
        <v>218</v>
      </c>
      <c r="B82" s="4" t="s">
        <v>443</v>
      </c>
      <c r="C82" s="5" t="s">
        <v>445</v>
      </c>
      <c r="D82" s="5" t="s">
        <v>444</v>
      </c>
      <c r="E82" s="4" t="s">
        <v>53</v>
      </c>
      <c r="F82" s="4" t="s">
        <v>107</v>
      </c>
      <c r="G82" s="4" t="s">
        <v>393</v>
      </c>
      <c r="H82" s="4" t="s">
        <v>94</v>
      </c>
      <c r="I82" s="4" t="s">
        <v>57</v>
      </c>
      <c r="J82" s="4" t="s">
        <v>58</v>
      </c>
      <c r="K82" s="4" t="n">
        <v>68</v>
      </c>
    </row>
    <row r="83" customFormat="false" ht="26.85" hidden="false" customHeight="false" outlineLevel="0" collapsed="false">
      <c r="A83" s="4" t="s">
        <v>218</v>
      </c>
      <c r="B83" s="4" t="s">
        <v>463</v>
      </c>
      <c r="C83" s="5" t="s">
        <v>465</v>
      </c>
      <c r="D83" s="5" t="s">
        <v>464</v>
      </c>
      <c r="E83" s="4" t="s">
        <v>53</v>
      </c>
      <c r="F83" s="4" t="s">
        <v>127</v>
      </c>
      <c r="G83" s="4" t="s">
        <v>393</v>
      </c>
      <c r="H83" s="4" t="s">
        <v>94</v>
      </c>
      <c r="I83" s="4" t="s">
        <v>57</v>
      </c>
      <c r="J83" s="4" t="s">
        <v>58</v>
      </c>
      <c r="K83" s="4" t="n">
        <v>72</v>
      </c>
    </row>
    <row r="84" customFormat="false" ht="26.85" hidden="false" customHeight="false" outlineLevel="0" collapsed="false">
      <c r="A84" s="4" t="s">
        <v>218</v>
      </c>
      <c r="B84" s="4" t="s">
        <v>484</v>
      </c>
      <c r="C84" s="5" t="s">
        <v>486</v>
      </c>
      <c r="D84" s="5" t="s">
        <v>485</v>
      </c>
      <c r="E84" s="4" t="s">
        <v>53</v>
      </c>
      <c r="F84" s="4" t="s">
        <v>107</v>
      </c>
      <c r="G84" s="4" t="s">
        <v>296</v>
      </c>
      <c r="H84" s="4" t="s">
        <v>94</v>
      </c>
      <c r="I84" s="4" t="s">
        <v>115</v>
      </c>
      <c r="J84" s="4" t="s">
        <v>58</v>
      </c>
      <c r="K84" s="4" t="n">
        <v>76</v>
      </c>
    </row>
    <row r="85" customFormat="false" ht="26.85" hidden="false" customHeight="false" outlineLevel="0" collapsed="false">
      <c r="A85" s="4" t="s">
        <v>218</v>
      </c>
      <c r="B85" s="4" t="s">
        <v>512</v>
      </c>
      <c r="C85" s="5" t="s">
        <v>514</v>
      </c>
      <c r="D85" s="5" t="s">
        <v>513</v>
      </c>
      <c r="E85" s="4" t="s">
        <v>53</v>
      </c>
      <c r="F85" s="4" t="s">
        <v>127</v>
      </c>
      <c r="G85" s="4" t="s">
        <v>515</v>
      </c>
      <c r="H85" s="4" t="s">
        <v>94</v>
      </c>
      <c r="I85" s="4" t="s">
        <v>95</v>
      </c>
      <c r="J85" s="4" t="s">
        <v>96</v>
      </c>
      <c r="K85" s="4" t="n">
        <v>81</v>
      </c>
    </row>
    <row r="86" customFormat="false" ht="39.55" hidden="false" customHeight="false" outlineLevel="0" collapsed="false">
      <c r="A86" s="4" t="s">
        <v>218</v>
      </c>
      <c r="B86" s="4" t="s">
        <v>525</v>
      </c>
      <c r="C86" s="5" t="s">
        <v>527</v>
      </c>
      <c r="D86" s="5" t="s">
        <v>526</v>
      </c>
      <c r="E86" s="4" t="s">
        <v>53</v>
      </c>
      <c r="F86" s="4" t="s">
        <v>127</v>
      </c>
      <c r="G86" s="4" t="s">
        <v>296</v>
      </c>
      <c r="H86" s="4" t="s">
        <v>94</v>
      </c>
      <c r="I86" s="4" t="s">
        <v>115</v>
      </c>
      <c r="J86" s="4" t="s">
        <v>58</v>
      </c>
      <c r="K86" s="4" t="n">
        <v>83</v>
      </c>
    </row>
    <row r="87" customFormat="false" ht="26.85" hidden="false" customHeight="false" outlineLevel="0" collapsed="false">
      <c r="A87" s="4" t="s">
        <v>218</v>
      </c>
      <c r="B87" s="4" t="s">
        <v>535</v>
      </c>
      <c r="C87" s="5" t="s">
        <v>537</v>
      </c>
      <c r="D87" s="5" t="s">
        <v>536</v>
      </c>
      <c r="E87" s="4" t="s">
        <v>53</v>
      </c>
      <c r="F87" s="4" t="s">
        <v>107</v>
      </c>
      <c r="G87" s="4" t="s">
        <v>217</v>
      </c>
      <c r="H87" s="4" t="s">
        <v>94</v>
      </c>
      <c r="I87" s="4" t="s">
        <v>115</v>
      </c>
      <c r="J87" s="4" t="s">
        <v>58</v>
      </c>
      <c r="K87" s="4" t="n">
        <v>85</v>
      </c>
    </row>
    <row r="88" customFormat="false" ht="26.85" hidden="false" customHeight="false" outlineLevel="0" collapsed="false">
      <c r="A88" s="4" t="s">
        <v>218</v>
      </c>
      <c r="B88" s="4" t="s">
        <v>545</v>
      </c>
      <c r="C88" s="5" t="s">
        <v>547</v>
      </c>
      <c r="D88" s="5" t="s">
        <v>546</v>
      </c>
      <c r="E88" s="4" t="s">
        <v>53</v>
      </c>
      <c r="F88" s="4" t="s">
        <v>107</v>
      </c>
      <c r="G88" s="4" t="s">
        <v>535</v>
      </c>
      <c r="H88" s="4" t="s">
        <v>94</v>
      </c>
      <c r="I88" s="4" t="s">
        <v>115</v>
      </c>
      <c r="J88" s="4" t="s">
        <v>58</v>
      </c>
      <c r="K88" s="4" t="n">
        <v>87</v>
      </c>
    </row>
    <row r="89" customFormat="false" ht="26.85" hidden="false" customHeight="false" outlineLevel="0" collapsed="false">
      <c r="A89" s="4" t="s">
        <v>218</v>
      </c>
      <c r="B89" s="4" t="s">
        <v>553</v>
      </c>
      <c r="C89" s="5" t="s">
        <v>555</v>
      </c>
      <c r="D89" s="5" t="s">
        <v>554</v>
      </c>
      <c r="E89" s="4" t="s">
        <v>53</v>
      </c>
      <c r="F89" s="4" t="s">
        <v>127</v>
      </c>
      <c r="G89" s="4" t="s">
        <v>535</v>
      </c>
      <c r="H89" s="4" t="s">
        <v>94</v>
      </c>
      <c r="I89" s="4" t="s">
        <v>381</v>
      </c>
      <c r="J89" s="4" t="s">
        <v>96</v>
      </c>
      <c r="K89" s="4" t="n">
        <v>89</v>
      </c>
    </row>
    <row r="90" customFormat="false" ht="26.85" hidden="false" customHeight="false" outlineLevel="0" collapsed="false">
      <c r="A90" s="4" t="s">
        <v>218</v>
      </c>
      <c r="B90" s="4" t="s">
        <v>556</v>
      </c>
      <c r="C90" s="5" t="s">
        <v>558</v>
      </c>
      <c r="D90" s="5" t="s">
        <v>557</v>
      </c>
      <c r="E90" s="4" t="s">
        <v>53</v>
      </c>
      <c r="F90" s="4" t="s">
        <v>127</v>
      </c>
      <c r="G90" s="4" t="s">
        <v>393</v>
      </c>
      <c r="H90" s="4" t="s">
        <v>94</v>
      </c>
      <c r="I90" s="4" t="s">
        <v>57</v>
      </c>
      <c r="J90" s="4" t="s">
        <v>58</v>
      </c>
      <c r="K90" s="4" t="n">
        <v>90</v>
      </c>
    </row>
    <row r="91" customFormat="false" ht="26.85" hidden="false" customHeight="false" outlineLevel="0" collapsed="false">
      <c r="A91" s="4" t="s">
        <v>218</v>
      </c>
      <c r="B91" s="4" t="s">
        <v>562</v>
      </c>
      <c r="C91" s="5" t="s">
        <v>564</v>
      </c>
      <c r="D91" s="5" t="s">
        <v>563</v>
      </c>
      <c r="E91" s="4" t="s">
        <v>53</v>
      </c>
      <c r="F91" s="4" t="s">
        <v>54</v>
      </c>
      <c r="G91" s="4" t="s">
        <v>296</v>
      </c>
      <c r="H91" s="4" t="s">
        <v>94</v>
      </c>
      <c r="I91" s="4" t="s">
        <v>381</v>
      </c>
      <c r="J91" s="4" t="s">
        <v>96</v>
      </c>
      <c r="K91" s="4" t="n">
        <v>91</v>
      </c>
    </row>
    <row r="92" customFormat="false" ht="26.85" hidden="false" customHeight="false" outlineLevel="0" collapsed="false">
      <c r="A92" s="4" t="s">
        <v>218</v>
      </c>
      <c r="B92" s="4" t="s">
        <v>565</v>
      </c>
      <c r="C92" s="5" t="s">
        <v>567</v>
      </c>
      <c r="D92" s="5" t="s">
        <v>566</v>
      </c>
      <c r="E92" s="4" t="s">
        <v>53</v>
      </c>
      <c r="F92" s="4" t="s">
        <v>127</v>
      </c>
      <c r="G92" s="4" t="s">
        <v>373</v>
      </c>
      <c r="H92" s="4" t="s">
        <v>94</v>
      </c>
      <c r="I92" s="4" t="s">
        <v>95</v>
      </c>
      <c r="J92" s="4" t="s">
        <v>96</v>
      </c>
      <c r="K92" s="4" t="n">
        <v>92</v>
      </c>
    </row>
    <row r="93" customFormat="false" ht="26.85" hidden="false" customHeight="false" outlineLevel="0" collapsed="false">
      <c r="A93" s="4" t="s">
        <v>218</v>
      </c>
      <c r="B93" s="4" t="s">
        <v>570</v>
      </c>
      <c r="C93" s="5" t="s">
        <v>572</v>
      </c>
      <c r="D93" s="5" t="s">
        <v>571</v>
      </c>
      <c r="E93" s="4" t="s">
        <v>74</v>
      </c>
      <c r="F93" s="4" t="s">
        <v>127</v>
      </c>
      <c r="G93" s="4" t="s">
        <v>217</v>
      </c>
      <c r="H93" s="4" t="s">
        <v>94</v>
      </c>
      <c r="I93" s="4" t="s">
        <v>115</v>
      </c>
      <c r="J93" s="4" t="s">
        <v>58</v>
      </c>
      <c r="K93" s="4" t="n">
        <v>93</v>
      </c>
    </row>
    <row r="94" customFormat="false" ht="26.85" hidden="false" customHeight="false" outlineLevel="0" collapsed="false">
      <c r="A94" s="4" t="s">
        <v>218</v>
      </c>
      <c r="B94" s="4" t="s">
        <v>575</v>
      </c>
      <c r="C94" s="5" t="s">
        <v>577</v>
      </c>
      <c r="D94" s="5" t="s">
        <v>576</v>
      </c>
      <c r="E94" s="4" t="s">
        <v>53</v>
      </c>
      <c r="F94" s="4" t="s">
        <v>127</v>
      </c>
      <c r="G94" s="4" t="s">
        <v>425</v>
      </c>
      <c r="H94" s="4" t="s">
        <v>94</v>
      </c>
      <c r="I94" s="4" t="s">
        <v>95</v>
      </c>
      <c r="J94" s="4" t="s">
        <v>96</v>
      </c>
      <c r="K94" s="4" t="n">
        <v>94</v>
      </c>
    </row>
    <row r="95" customFormat="false" ht="39.55" hidden="false" customHeight="false" outlineLevel="0" collapsed="false">
      <c r="A95" s="4" t="s">
        <v>218</v>
      </c>
      <c r="B95" s="4" t="s">
        <v>580</v>
      </c>
      <c r="C95" s="5" t="s">
        <v>582</v>
      </c>
      <c r="D95" s="5" t="s">
        <v>581</v>
      </c>
      <c r="E95" s="4" t="s">
        <v>53</v>
      </c>
      <c r="F95" s="4" t="s">
        <v>54</v>
      </c>
      <c r="G95" s="4" t="s">
        <v>296</v>
      </c>
      <c r="H95" s="4" t="s">
        <v>94</v>
      </c>
      <c r="I95" s="4" t="s">
        <v>381</v>
      </c>
      <c r="J95" s="4" t="s">
        <v>96</v>
      </c>
      <c r="K95" s="4" t="n">
        <v>95</v>
      </c>
    </row>
    <row r="96" customFormat="false" ht="26.85" hidden="false" customHeight="false" outlineLevel="0" collapsed="false">
      <c r="A96" s="4" t="s">
        <v>218</v>
      </c>
      <c r="B96" s="4" t="s">
        <v>602</v>
      </c>
      <c r="C96" s="5" t="s">
        <v>604</v>
      </c>
      <c r="D96" s="5" t="s">
        <v>603</v>
      </c>
      <c r="E96" s="4" t="s">
        <v>228</v>
      </c>
      <c r="F96" s="4" t="s">
        <v>229</v>
      </c>
      <c r="G96" s="4" t="s">
        <v>605</v>
      </c>
      <c r="H96" s="4" t="s">
        <v>94</v>
      </c>
      <c r="I96" s="4" t="s">
        <v>57</v>
      </c>
      <c r="J96" s="4" t="s">
        <v>58</v>
      </c>
      <c r="K96" s="4" t="n">
        <v>99</v>
      </c>
    </row>
    <row r="97" customFormat="false" ht="26.85" hidden="false" customHeight="false" outlineLevel="0" collapsed="false">
      <c r="A97" s="4" t="s">
        <v>218</v>
      </c>
      <c r="B97" s="4" t="s">
        <v>583</v>
      </c>
      <c r="C97" s="5" t="s">
        <v>585</v>
      </c>
      <c r="D97" s="5" t="s">
        <v>584</v>
      </c>
      <c r="E97" s="4" t="s">
        <v>53</v>
      </c>
      <c r="F97" s="4" t="s">
        <v>54</v>
      </c>
      <c r="G97" s="4" t="s">
        <v>296</v>
      </c>
      <c r="H97" s="4" t="s">
        <v>94</v>
      </c>
      <c r="I97" s="4" t="s">
        <v>95</v>
      </c>
      <c r="J97" s="4" t="s">
        <v>96</v>
      </c>
      <c r="K97" s="4" t="n">
        <v>96</v>
      </c>
    </row>
    <row r="98" customFormat="false" ht="26.85" hidden="false" customHeight="false" outlineLevel="0" collapsed="false">
      <c r="A98" s="4" t="s">
        <v>416</v>
      </c>
      <c r="B98" s="4" t="s">
        <v>608</v>
      </c>
      <c r="C98" s="5" t="s">
        <v>610</v>
      </c>
      <c r="D98" s="5" t="s">
        <v>609</v>
      </c>
      <c r="E98" s="4" t="s">
        <v>228</v>
      </c>
      <c r="F98" s="4" t="s">
        <v>611</v>
      </c>
      <c r="G98" s="4" t="s">
        <v>612</v>
      </c>
      <c r="H98" s="4" t="s">
        <v>94</v>
      </c>
      <c r="I98" s="4" t="s">
        <v>57</v>
      </c>
      <c r="J98" s="4" t="s">
        <v>231</v>
      </c>
      <c r="K98" s="4" t="n">
        <v>100</v>
      </c>
    </row>
    <row r="99" customFormat="false" ht="15" hidden="false" customHeight="false" outlineLevel="0" collapsed="false">
      <c r="A99" s="4" t="s">
        <v>416</v>
      </c>
      <c r="B99" s="4" t="s">
        <v>588</v>
      </c>
      <c r="C99" s="5" t="s">
        <v>590</v>
      </c>
      <c r="D99" s="5" t="s">
        <v>589</v>
      </c>
      <c r="E99" s="4" t="s">
        <v>53</v>
      </c>
      <c r="F99" s="4" t="s">
        <v>127</v>
      </c>
      <c r="G99" s="4" t="s">
        <v>49</v>
      </c>
      <c r="H99" s="4" t="s">
        <v>591</v>
      </c>
      <c r="I99" s="4" t="s">
        <v>95</v>
      </c>
      <c r="J99" s="4" t="s">
        <v>96</v>
      </c>
      <c r="K99" s="4" t="n">
        <v>97</v>
      </c>
    </row>
    <row r="100" customFormat="false" ht="26.85" hidden="false" customHeight="false" outlineLevel="0" collapsed="false">
      <c r="A100" s="4" t="s">
        <v>416</v>
      </c>
      <c r="B100" s="4" t="s">
        <v>595</v>
      </c>
      <c r="C100" s="5" t="s">
        <v>597</v>
      </c>
      <c r="D100" s="5" t="s">
        <v>596</v>
      </c>
      <c r="E100" s="4" t="s">
        <v>53</v>
      </c>
      <c r="F100" s="4" t="s">
        <v>598</v>
      </c>
      <c r="G100" s="4" t="s">
        <v>104</v>
      </c>
      <c r="H100" s="4" t="s">
        <v>94</v>
      </c>
      <c r="I100" s="4" t="s">
        <v>95</v>
      </c>
      <c r="J100" s="4" t="s">
        <v>96</v>
      </c>
      <c r="K100" s="4" t="n">
        <v>98</v>
      </c>
    </row>
    <row r="101" customFormat="false" ht="15" hidden="false" customHeight="false" outlineLevel="0" collapsed="false">
      <c r="A101" s="4" t="s">
        <v>416</v>
      </c>
      <c r="B101" s="4" t="s">
        <v>415</v>
      </c>
      <c r="C101" s="5" t="s">
        <v>418</v>
      </c>
      <c r="D101" s="5" t="s">
        <v>417</v>
      </c>
      <c r="E101" s="4" t="s">
        <v>228</v>
      </c>
      <c r="F101" s="4" t="s">
        <v>419</v>
      </c>
      <c r="G101" s="4" t="s">
        <v>420</v>
      </c>
      <c r="H101" s="4" t="s">
        <v>421</v>
      </c>
      <c r="I101" s="4" t="s">
        <v>57</v>
      </c>
      <c r="J101" s="4" t="s">
        <v>58</v>
      </c>
      <c r="K101" s="4" t="n">
        <v>63</v>
      </c>
    </row>
  </sheetData>
  <autoFilter ref="A1:K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2"/>
    <col collapsed="false" customWidth="true" hidden="false" outlineLevel="0" max="4" min="4" style="0" width="28"/>
    <col collapsed="false" customWidth="true" hidden="false" outlineLevel="0" max="6" min="5" style="0" width="10"/>
    <col collapsed="false" customWidth="true" hidden="false" outlineLevel="0" max="7" min="7" style="0" width="2"/>
    <col collapsed="false" customWidth="true" hidden="false" outlineLevel="0" max="8" min="8" style="0" width="22"/>
    <col collapsed="false" customWidth="true" hidden="false" outlineLevel="0" max="9" min="9" style="0" width="10"/>
    <col collapsed="false" customWidth="true" hidden="false" outlineLevel="0" max="10" min="10" style="0" width="2"/>
    <col collapsed="false" customWidth="true" hidden="false" outlineLevel="0" max="11" min="11" style="0" width="30"/>
    <col collapsed="false" customWidth="true" hidden="false" outlineLevel="0" max="12" min="12" style="0" width="10"/>
  </cols>
  <sheetData>
    <row r="1" customFormat="false" ht="17.35" hidden="false" customHeight="false" outlineLevel="0" collapsed="false">
      <c r="A1" s="12" t="s">
        <v>719</v>
      </c>
    </row>
    <row r="3" customFormat="false" ht="15" hidden="false" customHeight="false" outlineLevel="0" collapsed="false">
      <c r="A3" s="13" t="s">
        <v>720</v>
      </c>
      <c r="D3" s="13" t="s">
        <v>721</v>
      </c>
      <c r="E3" s="13" t="s">
        <v>722</v>
      </c>
      <c r="F3" s="13" t="s">
        <v>723</v>
      </c>
      <c r="H3" s="13" t="s">
        <v>724</v>
      </c>
      <c r="I3" s="13" t="s">
        <v>722</v>
      </c>
      <c r="K3" s="13" t="s">
        <v>725</v>
      </c>
      <c r="L3" s="13" t="s">
        <v>722</v>
      </c>
    </row>
    <row r="4" customFormat="false" ht="15" hidden="false" customHeight="false" outlineLevel="0" collapsed="false">
      <c r="A4" s="4" t="s">
        <v>62</v>
      </c>
      <c r="B4" s="4" t="n">
        <f aca="false">COUNTIF(Backlog!$AB$2:$AB$101,A4)</f>
        <v>100</v>
      </c>
      <c r="D4" s="4" t="s">
        <v>50</v>
      </c>
      <c r="E4" s="4" t="n">
        <f aca="false">COUNTIF(Backlog!$E$2:$E$101,D4)</f>
        <v>30</v>
      </c>
      <c r="F4" s="4" t="n">
        <f aca="false">COUNTIFS(Backlog!$E$2:$E$101,D4,Backlog!$AB$2:$AB$101,"Published")</f>
        <v>0</v>
      </c>
      <c r="H4" s="4" t="s">
        <v>57</v>
      </c>
      <c r="I4" s="4" t="n">
        <f aca="false">COUNTIF(Backlog!$L$2:$L$101,H4)</f>
        <v>36</v>
      </c>
      <c r="K4" s="4" t="s">
        <v>58</v>
      </c>
      <c r="L4" s="4" t="n">
        <f aca="false">COUNTIF(Backlog!$M$2:$M$101,K4)</f>
        <v>52</v>
      </c>
    </row>
    <row r="5" customFormat="false" ht="15" hidden="false" customHeight="false" outlineLevel="0" collapsed="false">
      <c r="A5" s="4" t="s">
        <v>726</v>
      </c>
      <c r="B5" s="4" t="n">
        <f aca="false">COUNTIF(Backlog!$AB$2:$AB$101,A5)</f>
        <v>0</v>
      </c>
      <c r="D5" s="4" t="s">
        <v>64</v>
      </c>
      <c r="E5" s="4" t="n">
        <f aca="false">COUNTIF(Backlog!$E$2:$E$101,D5)</f>
        <v>26</v>
      </c>
      <c r="F5" s="4" t="n">
        <f aca="false">COUNTIFS(Backlog!$E$2:$E$101,D5,Backlog!$AB$2:$AB$101,"Published")</f>
        <v>0</v>
      </c>
      <c r="H5" s="4" t="s">
        <v>115</v>
      </c>
      <c r="I5" s="4" t="n">
        <f aca="false">COUNTIF(Backlog!$L$2:$L$101,H5)</f>
        <v>40</v>
      </c>
      <c r="K5" s="4" t="s">
        <v>67</v>
      </c>
      <c r="L5" s="4" t="n">
        <f aca="false">COUNTIF(Backlog!$M$2:$M$101,K5)</f>
        <v>17</v>
      </c>
    </row>
    <row r="6" customFormat="false" ht="15" hidden="false" customHeight="false" outlineLevel="0" collapsed="false">
      <c r="A6" s="4" t="s">
        <v>727</v>
      </c>
      <c r="B6" s="4" t="n">
        <f aca="false">COUNTIF(Backlog!$AB$2:$AB$101,A6)</f>
        <v>0</v>
      </c>
      <c r="D6" s="4" t="s">
        <v>210</v>
      </c>
      <c r="E6" s="4" t="n">
        <f aca="false">COUNTIF(Backlog!$E$2:$E$101,D6)</f>
        <v>14</v>
      </c>
      <c r="F6" s="4" t="n">
        <f aca="false">COUNTIFS(Backlog!$E$2:$E$101,D6,Backlog!$AB$2:$AB$101,"Published")</f>
        <v>0</v>
      </c>
      <c r="H6" s="4" t="s">
        <v>95</v>
      </c>
      <c r="I6" s="4" t="n">
        <f aca="false">COUNTIF(Backlog!$L$2:$L$101,H6)</f>
        <v>20</v>
      </c>
      <c r="K6" s="4" t="s">
        <v>231</v>
      </c>
      <c r="L6" s="4" t="n">
        <f aca="false">COUNTIF(Backlog!$M$2:$M$101,K6)</f>
        <v>7</v>
      </c>
    </row>
    <row r="7" customFormat="false" ht="15" hidden="false" customHeight="false" outlineLevel="0" collapsed="false">
      <c r="A7" s="4" t="s">
        <v>728</v>
      </c>
      <c r="B7" s="4" t="n">
        <f aca="false">COUNTIF(Backlog!$AB$2:$AB$101,A7)</f>
        <v>0</v>
      </c>
      <c r="D7" s="4" t="s">
        <v>218</v>
      </c>
      <c r="E7" s="4" t="n">
        <f aca="false">COUNTIF(Backlog!$E$2:$E$101,D7)</f>
        <v>26</v>
      </c>
      <c r="F7" s="4" t="n">
        <f aca="false">COUNTIFS(Backlog!$E$2:$E$101,D7,Backlog!$AB$2:$AB$101,"Published")</f>
        <v>0</v>
      </c>
      <c r="H7" s="4" t="s">
        <v>381</v>
      </c>
      <c r="I7" s="4" t="n">
        <f aca="false">COUNTIF(Backlog!$L$2:$L$101,H7)</f>
        <v>4</v>
      </c>
      <c r="K7" s="4" t="s">
        <v>96</v>
      </c>
      <c r="L7" s="4" t="n">
        <f aca="false">COUNTIF(Backlog!$M$2:$M$101,K7)</f>
        <v>24</v>
      </c>
    </row>
    <row r="8" customFormat="false" ht="15" hidden="false" customHeight="false" outlineLevel="0" collapsed="false">
      <c r="A8" s="4" t="s">
        <v>723</v>
      </c>
      <c r="B8" s="4" t="n">
        <f aca="false">COUNTIF(Backlog!$AB$2:$AB$101,A8)</f>
        <v>0</v>
      </c>
      <c r="D8" s="4" t="s">
        <v>416</v>
      </c>
      <c r="E8" s="4" t="n">
        <f aca="false">COUNTIF(Backlog!$E$2:$E$101,D8)</f>
        <v>4</v>
      </c>
      <c r="F8" s="4" t="n">
        <f aca="false">COUNTIFS(Backlog!$E$2:$E$101,D8,Backlog!$AB$2:$AB$101,"Published")</f>
        <v>0</v>
      </c>
    </row>
    <row r="9" customFormat="false" ht="15" hidden="false" customHeight="false" outlineLevel="0" collapsed="false">
      <c r="A9" s="13" t="s">
        <v>729</v>
      </c>
      <c r="B9" s="13" t="n">
        <f aca="false">SUM(B4:B8)</f>
        <v>100</v>
      </c>
    </row>
    <row r="12" customFormat="false" ht="15" hidden="false" customHeight="false" outlineLevel="0" collapsed="false">
      <c r="A12" s="13" t="s">
        <v>730</v>
      </c>
    </row>
    <row r="13" customFormat="false" ht="15" hidden="false" customHeight="false" outlineLevel="0" collapsed="false">
      <c r="A13" s="4" t="str">
        <f aca="false">IFERROR(INDEX(Backlog!$D$2:$D$101,MATCH(1,Backlog!$AE$2:$AE$101,0)),"")</f>
        <v>MI-01</v>
      </c>
      <c r="B13" s="4" t="str">
        <f aca="false">IFERROR(INDEX(Backlog!$G$2:$G$101,MATCH(1,Backlog!$AE$2:$AE$101,0)),"")</f>
        <v>Supply and demand, properly: what shifts a curve and what moves along it</v>
      </c>
    </row>
    <row r="14" customFormat="false" ht="15" hidden="false" customHeight="false" outlineLevel="0" collapsed="false">
      <c r="A14" s="4" t="str">
        <f aca="false">IFERROR(INDEX(Backlog!$D$2:$D$101,MATCH(2,Backlog!$AE$2:$AE$101,0)),"")</f>
        <v>MA-01</v>
      </c>
      <c r="B14" s="4" t="str">
        <f aca="false">IFERROR(INDEX(Backlog!$G$2:$G$101,MATCH(2,Backlog!$AE$2:$AE$101,0)),"")</f>
        <v>GDP, properly: three ways to measure one number</v>
      </c>
    </row>
    <row r="15" customFormat="false" ht="15" hidden="false" customHeight="false" outlineLevel="0" collapsed="false">
      <c r="A15" s="4" t="str">
        <f aca="false">IFERROR(INDEX(Backlog!$D$2:$D$101,MATCH(3,Backlog!$AE$2:$AE$101,0)),"")</f>
        <v>MI-02</v>
      </c>
      <c r="B15" s="4" t="str">
        <f aca="false">IFERROR(INDEX(Backlog!$G$2:$G$101,MATCH(3,Backlog!$AE$2:$AE$101,0)),"")</f>
        <v>How to solve elasticity problems (point, arc, revenue test)</v>
      </c>
    </row>
    <row r="16" customFormat="false" ht="15" hidden="false" customHeight="false" outlineLevel="0" collapsed="false">
      <c r="A16" s="4" t="str">
        <f aca="false">IFERROR(INDEX(Backlog!$D$2:$D$101,MATCH(4,Backlog!$AE$2:$AE$101,0)),"")</f>
        <v>MA-02</v>
      </c>
      <c r="B16" s="4" t="str">
        <f aca="false">IFERROR(INDEX(Backlog!$G$2:$G$101,MATCH(4,Backlog!$AE$2:$AE$101,0)),"")</f>
        <v>Inflation, the CPI and the GDP deflator (and why they disagree)</v>
      </c>
    </row>
    <row r="17" customFormat="false" ht="15" hidden="false" customHeight="false" outlineLevel="0" collapsed="false">
      <c r="A17" s="4" t="str">
        <f aca="false">IFERROR(INDEX(Backlog!$D$2:$D$101,MATCH(5,Backlog!$AE$2:$AE$101,0)),"")</f>
        <v>MI-03</v>
      </c>
      <c r="B17" s="4" t="str">
        <f aca="false">IFERROR(INDEX(Backlog!$G$2:$G$101,MATCH(5,Backlog!$AE$2:$AE$101,0)),"")</f>
        <v>How to calculate opportunity cost (and why the PPF is curved)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2026-10-22T19:46:17Z</dcterms:created>
  <dc:creator>openpyxl</dc:creator>
  <dc:description/>
  <dc:language>en-US</dc:language>
  <cp:lastModifiedBy/>
  <dcterms:modified xsi:type="dcterms:W3CDTF">2026-10-22T19:46:17Z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