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acklog" sheetId="2" state="visible" r:id="rId4"/>
    <sheet name="Schedule" sheetId="3" state="visible" r:id="rId5"/>
    <sheet name="By Course" sheetId="4" state="visible" r:id="rId6"/>
    <sheet name="Progress" sheetId="5" state="visible" r:id="rId7"/>
  </sheets>
  <definedNames>
    <definedName function="false" hidden="true" localSheetId="1" name="_xlnm._FilterDatabase" vbProcedure="false">Backlog!$A$1:$Z$101</definedName>
    <definedName function="false" hidden="true" localSheetId="3" name="_xlnm._FilterDatabase" vbProcedure="false">'By Course'!$A$1:$J$101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<sst xmlns="http://schemas.openxmlformats.org/spreadsheetml/2006/main" count="2214" uniqueCount="722">
  <si>
    <t xml:space="preserve">First 100 videos: production backlog</t>
  </si>
  <si>
    <t xml:space="preserve">Built 2026-10-22 from the open-textbook tables of contents (Hefferon, Trench, Lebl, OpenIntro, Grinstead &amp; Snell, Downey) and the YouTube channel scan of 112 channels / 10,339 videos.</t>
  </si>
  <si>
    <t xml:space="preserve">Tabs</t>
  </si>
  <si>
    <t xml:space="preserve">Backlog: all 100 videos in suggested production order. Edit the Status and Publish date columns as you go; the counts on the Progress tab update automatically.</t>
  </si>
  <si>
    <t xml:space="preserve">Schedule: the same 100 videos laid out at 3 per week (34 weeks), with the phase each week belongs to.</t>
  </si>
  <si>
    <t xml:space="preserve">By Course: the backlog regrouped by course in textbook (playlist) order, so each playlist reads in prerequisite order.</t>
  </si>
  <si>
    <t xml:space="preserve">Progress: live counts by status, course and demand signal.</t>
  </si>
  <si>
    <t xml:space="preserve">Columns</t>
  </si>
  <si>
    <t xml:space="preserve">Code: LA = Linear Algebra, DE = Differential Equations, PS = Probability &amp; Statistics, XC = cross-course format experiments. The number is the textbook/playlist order within the course.</t>
  </si>
  <si>
    <t xml:space="preserve">Source section: the textbook section that is the source of truth for definitions, notation and the worked example. Narration is written fresh from it.</t>
  </si>
  <si>
    <t xml:space="preserve">Format: Explainer (6-15 min single concept) / Anchor ("ALL of X in N minutes", made after the explainers exist) / 5 levels / History of an idea.</t>
  </si>
  <si>
    <t xml:space="preserve">Demand signal: see the two outlier columns; Low topics stay on the list because the course needs them as prerequisites.</t>
  </si>
  <si>
    <t xml:space="preserve">Comparable videos / Small-channel outliers (raw): how many scanned videos match the topic, and how many of those on channels under 150k subs beat 1x their subscriber count with 10k+ views.</t>
  </si>
  <si>
    <t xml:space="preserve">Small-channel outliers (age-adj): same test but on views PER YEAR (views divided by the video's age), videos at least 6 months old. This removes the advantage of 10-15 year old videos that accumulated views slowly.</t>
  </si>
  <si>
    <t xml:space="preserve">Demand signal is High only when BOTH the raw and the age-adjusted tests pass; Medium when one passes; Low when neither does.</t>
  </si>
  <si>
    <t xml:space="preserve">Best evidence: the single scanned video that best shows the topic pulls viewers beyond its channel - watch it before scripting yours.</t>
  </si>
  <si>
    <t xml:space="preserve">Prerequisites: codes that should be published first (or an assumed background course).</t>
  </si>
  <si>
    <t xml:space="preserve">How the order was chosen</t>
  </si>
  <si>
    <t xml:space="preserve">Weeks 1-8 alternate Linear Algebra and Differential Equations in textbook order, so both playlists grow in prerequisite order. Week 9 records the Linear Algebra anchor from the first 12 LA explainers; week 13 the DE anchor. From week 13 the Statistics lane opens and alternates with the remaining LA/DE topics. Format experiments (5 levels, history) sit right after the topic they depend on.</t>
  </si>
  <si>
    <t xml:space="preserve">Order</t>
  </si>
  <si>
    <t xml:space="preserve">Week</t>
  </si>
  <si>
    <t xml:space="preserve">Code</t>
  </si>
  <si>
    <t xml:space="preserve">Course</t>
  </si>
  <si>
    <t xml:space="preserve">Playlist #</t>
  </si>
  <si>
    <t xml:space="preserve">Source section (textbook)</t>
  </si>
  <si>
    <t xml:space="preserve">Working title</t>
  </si>
  <si>
    <t xml:space="preserve">Format</t>
  </si>
  <si>
    <t xml:space="preserve">Target length</t>
  </si>
  <si>
    <t xml:space="preserve">Prerequisites</t>
  </si>
  <si>
    <t xml:space="preserve">Demand signal</t>
  </si>
  <si>
    <t xml:space="preserve">Comparable videos</t>
  </si>
  <si>
    <t xml:space="preserve">Small-channel outliers (raw)</t>
  </si>
  <si>
    <t xml:space="preserve">Small-channel outliers (age-adj)</t>
  </si>
  <si>
    <t xml:space="preserve">Best evidence: video</t>
  </si>
  <si>
    <t xml:space="preserve">Evidence channel</t>
  </si>
  <si>
    <t xml:space="preserve">Evidence subs</t>
  </si>
  <si>
    <t xml:space="preserve">Evidence views</t>
  </si>
  <si>
    <t xml:space="preserve">Views / subs</t>
  </si>
  <si>
    <t xml:space="preserve">Evidence age (yrs)</t>
  </si>
  <si>
    <t xml:space="preserve">Views / yr</t>
  </si>
  <si>
    <t xml:space="preserve">Views/yr / subs</t>
  </si>
  <si>
    <t xml:space="preserve">Evidence URL</t>
  </si>
  <si>
    <t xml:space="preserve">Status</t>
  </si>
  <si>
    <t xml:space="preserve">Publish date</t>
  </si>
  <si>
    <t xml:space="preserve">Notes</t>
  </si>
  <si>
    <t xml:space="preserve">Pending rank (helper)</t>
  </si>
  <si>
    <t xml:space="preserve">LA-01</t>
  </si>
  <si>
    <t xml:space="preserve">Linear Algebra</t>
  </si>
  <si>
    <t xml:space="preserve">Hefferon, Linear Algebra §1.I.1 Gauss's Method</t>
  </si>
  <si>
    <t xml:space="preserve">What a system of linear equations really is (and why 3 pictures beat 3 formulas)</t>
  </si>
  <si>
    <t xml:space="preserve">Explainer</t>
  </si>
  <si>
    <t xml:space="preserve">6-8 min</t>
  </si>
  <si>
    <t xml:space="preserve">None</t>
  </si>
  <si>
    <t xml:space="preserve">High</t>
  </si>
  <si>
    <t xml:space="preserve">Gaussian elimination | Lecture 10 | Matrix Algebra for Engineers</t>
  </si>
  <si>
    <t xml:space="preserve">Jeffrey Chasnov</t>
  </si>
  <si>
    <t xml:space="preserve">https://youtu.be/RgnWMBpQPXk</t>
  </si>
  <si>
    <t xml:space="preserve">Planned</t>
  </si>
  <si>
    <t xml:space="preserve">DE-01</t>
  </si>
  <si>
    <t xml:space="preserve">Differential Equations</t>
  </si>
  <si>
    <t xml:space="preserve">Trench, Elementary Differential Equations §1.2 Basic Concepts</t>
  </si>
  <si>
    <t xml:space="preserve">What is a differential equation? (and why physics is written in them)</t>
  </si>
  <si>
    <t xml:space="preserve">Calculus 1</t>
  </si>
  <si>
    <t xml:space="preserve">Medium</t>
  </si>
  <si>
    <t xml:space="preserve">ODE | What is a differential equation?</t>
  </si>
  <si>
    <t xml:space="preserve">commutant</t>
  </si>
  <si>
    <t xml:space="preserve">https://youtu.be/HKvP2ESjJbA</t>
  </si>
  <si>
    <t xml:space="preserve">LA-02</t>
  </si>
  <si>
    <t xml:space="preserve">Gaussian elimination: the algorithm, visualised row by row</t>
  </si>
  <si>
    <t xml:space="preserve">8-10 min</t>
  </si>
  <si>
    <t xml:space="preserve">Elementary Linear Algebra: Echelon Form of a Matrix, Part 1</t>
  </si>
  <si>
    <t xml:space="preserve">James Hamblin</t>
  </si>
  <si>
    <t xml:space="preserve">https://youtu.be/wY4TAheBsj4</t>
  </si>
  <si>
    <t xml:space="preserve">DE-02</t>
  </si>
  <si>
    <t xml:space="preserve">Trench, Elementary Differential Equations §1.3 Direction Fields</t>
  </si>
  <si>
    <t xml:space="preserve">Slope fields: seeing every solution at once</t>
  </si>
  <si>
    <t xml:space="preserve">ODE | Slope fields</t>
  </si>
  <si>
    <t xml:space="preserve">https://youtu.be/MI2xCwBekX4</t>
  </si>
  <si>
    <t xml:space="preserve">LA-03</t>
  </si>
  <si>
    <t xml:space="preserve">Hefferon, Linear Algebra §1.III Reduced Echelon Form</t>
  </si>
  <si>
    <t xml:space="preserve">Row echelon form explained: what the zeros are telling you</t>
  </si>
  <si>
    <t xml:space="preserve">DE-03</t>
  </si>
  <si>
    <t xml:space="preserve">Trench, Elementary Differential Equations §2.2 Separable Equations</t>
  </si>
  <si>
    <t xml:space="preserve">Separable equations: the first trick everyone learns, explained properly</t>
  </si>
  <si>
    <t xml:space="preserve">Low</t>
  </si>
  <si>
    <t xml:space="preserve">Differential Equations: Non-linear first order separable equations</t>
  </si>
  <si>
    <t xml:space="preserve">MathMeUp</t>
  </si>
  <si>
    <t xml:space="preserve">https://youtu.be/CK_U4OrXiXI</t>
  </si>
  <si>
    <t xml:space="preserve">LA-04</t>
  </si>
  <si>
    <t xml:space="preserve">Hefferon, Linear Algebra §1.I.3 General = Particular + Homogeneous</t>
  </si>
  <si>
    <t xml:space="preserve">Why solution sets are lines, planes and points (particular + homogeneous)</t>
  </si>
  <si>
    <t xml:space="preserve">Linear Algebra - Lecture 28 - Null Space of a Matrix</t>
  </si>
  <si>
    <t xml:space="preserve">https://youtu.be/1b857qTFTgw</t>
  </si>
  <si>
    <t xml:space="preserve">DE-04</t>
  </si>
  <si>
    <t xml:space="preserve">Trench, Elementary Differential Equations §2.1 Linear First Order</t>
  </si>
  <si>
    <t xml:space="preserve">Integrating factors: where that mysterious e^∫p comes from</t>
  </si>
  <si>
    <t xml:space="preserve">ODE | Integrating factors general method</t>
  </si>
  <si>
    <t xml:space="preserve">https://youtu.be/GIpOcHNK7eQ</t>
  </si>
  <si>
    <t xml:space="preserve">LA-05</t>
  </si>
  <si>
    <t xml:space="preserve">Hefferon, Linear Algebra §1.II Linear Geometry of n-Space</t>
  </si>
  <si>
    <t xml:space="preserve">Vectors are not arrows: three ways to think about a vector</t>
  </si>
  <si>
    <t xml:space="preserve">Vector Calculus 1: What Is a Vector?</t>
  </si>
  <si>
    <t xml:space="preserve">MathTheBeautiful</t>
  </si>
  <si>
    <t xml:space="preserve">https://youtu.be/Zx6bizDdkRE</t>
  </si>
  <si>
    <t xml:space="preserve">DE-05</t>
  </si>
  <si>
    <t xml:space="preserve">Trench, Elementary Differential Equations §2.3 Existence and Uniqueness</t>
  </si>
  <si>
    <t xml:space="preserve">Existence and uniqueness, intuitively: when does a DE have one answer?</t>
  </si>
  <si>
    <t xml:space="preserve">ODE | Existence and uniqueness idea</t>
  </si>
  <si>
    <t xml:space="preserve">https://youtu.be/53BPf9JrFcU</t>
  </si>
  <si>
    <t xml:space="preserve">LA-06</t>
  </si>
  <si>
    <t xml:space="preserve">Hefferon, Linear Algebra §1.II.2 Length and Angle Measures</t>
  </si>
  <si>
    <t xml:space="preserve">The dot product explained visually (projection, angle, work)</t>
  </si>
  <si>
    <t xml:space="preserve">Introducing the Inner Product - A Fundamental Concept in Linear Algebra</t>
  </si>
  <si>
    <t xml:space="preserve">https://youtu.be/Ww_aQqWZhz8</t>
  </si>
  <si>
    <t xml:space="preserve">DE-06</t>
  </si>
  <si>
    <t xml:space="preserve">Trench, Elementary Differential Equations §2.5 Exact Equations</t>
  </si>
  <si>
    <t xml:space="preserve">Exact equations and the hidden potential function</t>
  </si>
  <si>
    <t xml:space="preserve">Exact Differential Equations</t>
  </si>
  <si>
    <t xml:space="preserve">https://youtu.be/Ii_MCo6RodA</t>
  </si>
  <si>
    <t xml:space="preserve">LA-07</t>
  </si>
  <si>
    <t xml:space="preserve">Hefferon, Linear Algebra §3.IV.2 Matrix Multiplication</t>
  </si>
  <si>
    <t xml:space="preserve">What a matrix really does: matrices as transformations</t>
  </si>
  <si>
    <t xml:space="preserve">Matrices Explained Visually — The Hidden Geometry Behind Every Matrix!</t>
  </si>
  <si>
    <t xml:space="preserve">Mathspark8</t>
  </si>
  <si>
    <t xml:space="preserve">https://youtu.be/qt9LlujnLAs</t>
  </si>
  <si>
    <t xml:space="preserve">DE-07</t>
  </si>
  <si>
    <t xml:space="preserve">Trench, Elementary Differential Equations §4.1 Growth and Decay</t>
  </si>
  <si>
    <t xml:space="preserve">Exponential growth and decay: the DE behind every population curve</t>
  </si>
  <si>
    <t xml:space="preserve">ODE | Population models</t>
  </si>
  <si>
    <t xml:space="preserve">https://youtu.be/gtCswEF3bho</t>
  </si>
  <si>
    <t xml:space="preserve">LA-08</t>
  </si>
  <si>
    <t xml:space="preserve">Why matrix multiplication is defined like that</t>
  </si>
  <si>
    <t xml:space="preserve">Matrix Multiplication Properties PROVED | FREE Linear Algebra Course</t>
  </si>
  <si>
    <t xml:space="preserve">Mathematics Flipped</t>
  </si>
  <si>
    <t xml:space="preserve">https://youtu.be/OcznDjdY46k</t>
  </si>
  <si>
    <t xml:space="preserve">DE-08</t>
  </si>
  <si>
    <t xml:space="preserve">Trench, Elementary Differential Equations §4.2 Cooling and Mixing</t>
  </si>
  <si>
    <t xml:space="preserve">Newton's law of cooling and the mixing-tank problem, animated</t>
  </si>
  <si>
    <t xml:space="preserve">ODE | A model for mixing problems</t>
  </si>
  <si>
    <t xml:space="preserve">https://youtu.be/-Fd6Ates4Gs</t>
  </si>
  <si>
    <t xml:space="preserve">LA-09</t>
  </si>
  <si>
    <t xml:space="preserve">Hefferon, Linear Algebra §2.I.2 Subspaces and Spanning Sets</t>
  </si>
  <si>
    <t xml:space="preserve">Span: everywhere your vectors can reach</t>
  </si>
  <si>
    <t xml:space="preserve">Linear Algebra Example: Span Questions</t>
  </si>
  <si>
    <t xml:space="preserve">https://youtu.be/OpcznwRgUaY</t>
  </si>
  <si>
    <t xml:space="preserve">DE-09</t>
  </si>
  <si>
    <t xml:space="preserve">Trench, Elementary Differential Equations §4.4 Autonomous Second Order / Lebl, Notes on Diffy Qs §1.6</t>
  </si>
  <si>
    <t xml:space="preserve">The phase line: stability without solving anything</t>
  </si>
  <si>
    <t xml:space="preserve">Fixed points and stability of a nonlinear system</t>
  </si>
  <si>
    <t xml:space="preserve">https://youtu.be/H4fwoVUltl4</t>
  </si>
  <si>
    <t xml:space="preserve">LA-10</t>
  </si>
  <si>
    <t xml:space="preserve">Hefferon, Linear Algebra §2.II Linear Independence</t>
  </si>
  <si>
    <t xml:space="preserve">Linear independence: when is a vector redundant?</t>
  </si>
  <si>
    <t xml:space="preserve">Spanning, Linear Independence and Bases - Linear Algebra</t>
  </si>
  <si>
    <t xml:space="preserve">Infinium</t>
  </si>
  <si>
    <t xml:space="preserve">https://youtu.be/qDnBvZOfFrs</t>
  </si>
  <si>
    <t xml:space="preserve">DE-10</t>
  </si>
  <si>
    <t xml:space="preserve">Trench, Elementary Differential Equations §3.1-3.3 Numerical Methods</t>
  </si>
  <si>
    <t xml:space="preserve">Euler's method to Runge-Kutta: how computers solve DEs</t>
  </si>
  <si>
    <t xml:space="preserve">10-12 min</t>
  </si>
  <si>
    <t xml:space="preserve">Runge Kutta Methods | Lecture 50 | Numerical Methods for Engineers</t>
  </si>
  <si>
    <t xml:space="preserve">https://youtu.be/C4UymmEi3Kw</t>
  </si>
  <si>
    <t xml:space="preserve">LA-11</t>
  </si>
  <si>
    <t xml:space="preserve">Hefferon, Linear Algebra §2.III Basis and Dimension</t>
  </si>
  <si>
    <t xml:space="preserve">Basis and dimension: choosing your coordinate system</t>
  </si>
  <si>
    <t xml:space="preserve">Tensor Calculus 3a: The Covariant Basis</t>
  </si>
  <si>
    <t xml:space="preserve">https://youtu.be/rtEk1at3sVk</t>
  </si>
  <si>
    <t xml:space="preserve">DE-11</t>
  </si>
  <si>
    <t xml:space="preserve">Trench, Elementary Differential Equations §5.1 Homogeneous Linear Equations</t>
  </si>
  <si>
    <t xml:space="preserve">Second-order linear DEs: why solutions form a 2D space</t>
  </si>
  <si>
    <t xml:space="preserve">DE-04, LA-11</t>
  </si>
  <si>
    <t xml:space="preserve">ODE | Initial value problems for second order equations</t>
  </si>
  <si>
    <t xml:space="preserve">https://youtu.be/FmLOWvfF_ww</t>
  </si>
  <si>
    <t xml:space="preserve">LA-12</t>
  </si>
  <si>
    <t xml:space="preserve">Hefferon, Linear Algebra §3.II Homomorphisms (rank, nullity)</t>
  </si>
  <si>
    <t xml:space="preserve">Rank and nullity: what a matrix destroys and what it keeps</t>
  </si>
  <si>
    <t xml:space="preserve">Linear Algebra - Lecture 32 - Dimension, Rank, and Nullity</t>
  </si>
  <si>
    <t xml:space="preserve">https://youtu.be/XIZxlNvAAjo</t>
  </si>
  <si>
    <t xml:space="preserve">DE-12</t>
  </si>
  <si>
    <t xml:space="preserve">Trench, Elementary Differential Equations §5.2 Constant Coefficient Homogeneous</t>
  </si>
  <si>
    <t xml:space="preserve">The characteristic equation: three cases, three pictures</t>
  </si>
  <si>
    <t xml:space="preserve">Introduction to PDEs: Solutions and Auxiliary Conditions</t>
  </si>
  <si>
    <t xml:space="preserve">Faculty of Khan</t>
  </si>
  <si>
    <t xml:space="preserve">https://youtu.be/Ef3CNDTAuBM</t>
  </si>
  <si>
    <t xml:space="preserve">LA-36</t>
  </si>
  <si>
    <t xml:space="preserve">Hefferon (whole book)</t>
  </si>
  <si>
    <t xml:space="preserve">ALL of Linear Algebra in 8 minutes</t>
  </si>
  <si>
    <t xml:space="preserve">Anchor (ALL of…)</t>
  </si>
  <si>
    <t xml:space="preserve">8 min</t>
  </si>
  <si>
    <t xml:space="preserve">LA-01…LA-35</t>
  </si>
  <si>
    <t xml:space="preserve">ALL of linear algebra in 7 minutes.</t>
  </si>
  <si>
    <t xml:space="preserve">KoothBrush</t>
  </si>
  <si>
    <t xml:space="preserve">https://youtu.be/QL4_4GAWvPs</t>
  </si>
  <si>
    <t xml:space="preserve">LA-13</t>
  </si>
  <si>
    <t xml:space="preserve">Hefferon, Linear Algebra §3.IV.4 Inverses</t>
  </si>
  <si>
    <t xml:space="preserve">The inverse matrix: undoing a transformation (and when you can't)</t>
  </si>
  <si>
    <t xml:space="preserve">Computing inverse matrices using Gaussian elimination | Lecture 12 | Matrix Algebra for Engineers</t>
  </si>
  <si>
    <t xml:space="preserve">https://youtu.be/vKBNzM3V-Rc</t>
  </si>
  <si>
    <t xml:space="preserve">DE-13</t>
  </si>
  <si>
    <t xml:space="preserve">Trench, Elementary Differential Equations §6.1 Spring Problems</t>
  </si>
  <si>
    <t xml:space="preserve">The mass on a spring: damping, visualised</t>
  </si>
  <si>
    <t xml:space="preserve">Coupled oscillators | Lecture 46 | Differential Equations for Engineers</t>
  </si>
  <si>
    <t xml:space="preserve">https://youtu.be/-pXnfzQfupE</t>
  </si>
  <si>
    <t xml:space="preserve">LA-14</t>
  </si>
  <si>
    <t xml:space="preserve">Hefferon, Linear Algebra §4.I-II Determinants</t>
  </si>
  <si>
    <t xml:space="preserve">Why is the determinant like that? (area, volume and sign)</t>
  </si>
  <si>
    <t xml:space="preserve">Why is the determinant like that?</t>
  </si>
  <si>
    <t xml:space="preserve">broke math student</t>
  </si>
  <si>
    <t xml:space="preserve">https://youtu.be/Sv7VseMsOQc</t>
  </si>
  <si>
    <t xml:space="preserve">DE-14</t>
  </si>
  <si>
    <t xml:space="preserve">Trench, Elementary Differential Equations §5.3-5.4 Nonhomogeneous / Undetermined Coefficients</t>
  </si>
  <si>
    <t xml:space="preserve">Forcing terms and undetermined coefficients: guessing with a method</t>
  </si>
  <si>
    <t xml:space="preserve">Differential Equations 3: Particular Integral and Complementary Function Method</t>
  </si>
  <si>
    <t xml:space="preserve">https://youtu.be/rYq319AOT9E</t>
  </si>
  <si>
    <t xml:space="preserve">LA-15</t>
  </si>
  <si>
    <t xml:space="preserve">Hefferon, Linear Algebra §4.III Laplace's Formula</t>
  </si>
  <si>
    <t xml:space="preserve">Cofactor expansion without tears: where the formula comes from</t>
  </si>
  <si>
    <t xml:space="preserve">Determinant, Inverse, Minor, Cofactor of any 2x2 or 3x3 Matrix</t>
  </si>
  <si>
    <t xml:space="preserve">Brain Station Advanced</t>
  </si>
  <si>
    <t xml:space="preserve">https://youtu.be/7R-AIrWfeH8</t>
  </si>
  <si>
    <t xml:space="preserve">DE-15</t>
  </si>
  <si>
    <t xml:space="preserve">Trench, Elementary Differential Equations §6.1 Forced Oscillation</t>
  </si>
  <si>
    <t xml:space="preserve">Resonance: why bridges and wine glasses break</t>
  </si>
  <si>
    <t xml:space="preserve">LA-16</t>
  </si>
  <si>
    <t xml:space="preserve">Hefferon, Linear Algebra §3.V Change of Basis</t>
  </si>
  <si>
    <t xml:space="preserve">Change of basis: the same vector in two languages</t>
  </si>
  <si>
    <t xml:space="preserve">Linear Algebra - Lecture 31 - Coordinate Systems</t>
  </si>
  <si>
    <t xml:space="preserve">https://youtu.be/sYkojeGZ_vE</t>
  </si>
  <si>
    <t xml:space="preserve">DE-16</t>
  </si>
  <si>
    <t xml:space="preserve">Trench, Elementary Differential Equations §5.7 Variation of Parameters</t>
  </si>
  <si>
    <t xml:space="preserve">Variation of parameters, demystified</t>
  </si>
  <si>
    <t xml:space="preserve">9: Variation of Parameters - Dissecting Differential Equations</t>
  </si>
  <si>
    <t xml:space="preserve">Mu Prime Math</t>
  </si>
  <si>
    <t xml:space="preserve">https://youtu.be/PMldTftChtQ</t>
  </si>
  <si>
    <t xml:space="preserve">LA-17</t>
  </si>
  <si>
    <t xml:space="preserve">Hefferon, Linear Algebra §3.VI.1 Orthogonal Projection</t>
  </si>
  <si>
    <t xml:space="preserve">Orthogonal projection: the closest point and why it matters</t>
  </si>
  <si>
    <t xml:space="preserve">How Do Computers Display 3D on a 2D Screen? (Perspective Projection)</t>
  </si>
  <si>
    <t xml:space="preserve">Carl the Person</t>
  </si>
  <si>
    <t xml:space="preserve">https://youtu.be/eoXn6nwV694</t>
  </si>
  <si>
    <t xml:space="preserve">DE-17</t>
  </si>
  <si>
    <t xml:space="preserve">Trench, Elementary Differential Equations §8.1 Introduction to Laplace Transform</t>
  </si>
  <si>
    <t xml:space="preserve">The Laplace transform, visually: what it does to a function</t>
  </si>
  <si>
    <t xml:space="preserve">Laplace Transform Explained Visually — Why Does Differentiation Become Multiplication?</t>
  </si>
  <si>
    <t xml:space="preserve">https://youtu.be/diOh7onaIjA</t>
  </si>
  <si>
    <t xml:space="preserve">LA-18</t>
  </si>
  <si>
    <t xml:space="preserve">Hefferon, Linear Algebra §3.VI.2 Gram-Schmidt</t>
  </si>
  <si>
    <t xml:space="preserve">Gram-Schmidt in 3D: building an orthonormal basis step by step</t>
  </si>
  <si>
    <t xml:space="preserve">Gram-Schmidt Process in Space (Step-by-Step 3D Visual)</t>
  </si>
  <si>
    <t xml:space="preserve">The Bold Math</t>
  </si>
  <si>
    <t xml:space="preserve">https://youtu.be/pIy8xqh9sWs</t>
  </si>
  <si>
    <t xml:space="preserve">DE-18</t>
  </si>
  <si>
    <t xml:space="preserve">Trench, Elementary Differential Equations §8.3 Solution of IVPs</t>
  </si>
  <si>
    <t xml:space="preserve">Solving differential equations with Laplace: turning calculus into algebra</t>
  </si>
  <si>
    <t xml:space="preserve">Inverse Laplace Transform Explained Visually — Master Partial Fractions &amp; Every Step!</t>
  </si>
  <si>
    <t xml:space="preserve">https://youtu.be/it4qnGcXals</t>
  </si>
  <si>
    <t xml:space="preserve">DE-30</t>
  </si>
  <si>
    <t xml:space="preserve">Trench (whole book)</t>
  </si>
  <si>
    <t xml:space="preserve">ALL of Differential Equations in 10 minutes</t>
  </si>
  <si>
    <t xml:space="preserve">10 min</t>
  </si>
  <si>
    <t xml:space="preserve">DE-01…DE-29</t>
  </si>
  <si>
    <t xml:space="preserve">ALL of differential equations in 11 minutes.</t>
  </si>
  <si>
    <t xml:space="preserve">https://youtu.be/P1s16tvCLTw</t>
  </si>
  <si>
    <t xml:space="preserve">PS-01</t>
  </si>
  <si>
    <t xml:space="preserve">Probability &amp; Statistics</t>
  </si>
  <si>
    <t xml:space="preserve">Grinstead &amp; Snell, Intro to Probability §1.2 Discrete Probability</t>
  </si>
  <si>
    <t xml:space="preserve">What probability actually is: three interpretations, one set of rules</t>
  </si>
  <si>
    <t xml:space="preserve">What is probability? Statistics? ML? AI?</t>
  </si>
  <si>
    <t xml:space="preserve">Meerkat Statistics</t>
  </si>
  <si>
    <t xml:space="preserve">https://youtu.be/EIrsmnodNOM</t>
  </si>
  <si>
    <t xml:space="preserve">LA-19</t>
  </si>
  <si>
    <t xml:space="preserve">Hefferon, Linear Algebra Topic: Line of Best Fit</t>
  </si>
  <si>
    <t xml:space="preserve">Least squares explained visually: regression is projection</t>
  </si>
  <si>
    <t xml:space="preserve">GLM Intro - 2 - Least Squares vs. Maximum Likelihood</t>
  </si>
  <si>
    <t xml:space="preserve">https://youtu.be/UdADuHJUX6Q</t>
  </si>
  <si>
    <t xml:space="preserve">PS-02</t>
  </si>
  <si>
    <t xml:space="preserve">Grinstead &amp; Snell, Intro to Probability §4.1 Conditional Probability</t>
  </si>
  <si>
    <t xml:space="preserve">Conditional probability: why your intuition fails (and how to fix it)</t>
  </si>
  <si>
    <t xml:space="preserve">All Of Conditional Probability in 30 Minutes</t>
  </si>
  <si>
    <t xml:space="preserve">Simple Quant</t>
  </si>
  <si>
    <t xml:space="preserve">https://youtu.be/dnGJoOHfDBo</t>
  </si>
  <si>
    <t xml:space="preserve">DE-19</t>
  </si>
  <si>
    <t xml:space="preserve">Trench, Elementary Differential Equations §8.4-8.5 Unit Step Functions</t>
  </si>
  <si>
    <t xml:space="preserve">Step functions and switches: Laplace for piecewise forcing</t>
  </si>
  <si>
    <t xml:space="preserve">Intuition: How does the Heaviside Activation Function work?</t>
  </si>
  <si>
    <t xml:space="preserve">IntuitiveML</t>
  </si>
  <si>
    <t xml:space="preserve">https://youtu.be/T0Xn-92j2EU</t>
  </si>
  <si>
    <t xml:space="preserve">PS-03</t>
  </si>
  <si>
    <t xml:space="preserve">Grinstead &amp; Snell, Intro to Probability §4.1 Bayes' Formula</t>
  </si>
  <si>
    <t xml:space="preserve">Bayes' theorem, visually: updating beliefs with evidence</t>
  </si>
  <si>
    <t xml:space="preserve">The better way to do statistics | Bayesian #1</t>
  </si>
  <si>
    <t xml:space="preserve">Very Normal</t>
  </si>
  <si>
    <t xml:space="preserve">https://youtu.be/3jP4H0kjtng</t>
  </si>
  <si>
    <t xml:space="preserve">XC-03</t>
  </si>
  <si>
    <t xml:space="preserve">Cross-course</t>
  </si>
  <si>
    <t xml:space="preserve">History-of-an-idea format</t>
  </si>
  <si>
    <t xml:space="preserve">How Bayes' theorem was lost, found and started a 200-year argument</t>
  </si>
  <si>
    <t xml:space="preserve">History of an idea</t>
  </si>
  <si>
    <t xml:space="preserve">15-20 min</t>
  </si>
  <si>
    <t xml:space="preserve">LA-20</t>
  </si>
  <si>
    <t xml:space="preserve">Hefferon, Linear Algebra §5.II.3 Eigenvalues and Eigenvectors</t>
  </si>
  <si>
    <t xml:space="preserve">Eigenvectors and eigenvalues: the directions a matrix doesn't turn</t>
  </si>
  <si>
    <t xml:space="preserve">What is an Eigenvector?</t>
  </si>
  <si>
    <t xml:space="preserve">Leios</t>
  </si>
  <si>
    <t xml:space="preserve">https://youtu.be/ue3yoeZvt8E</t>
  </si>
  <si>
    <t xml:space="preserve">XC-01</t>
  </si>
  <si>
    <t xml:space="preserve">Dr Sean "5 levels" format</t>
  </si>
  <si>
    <t xml:space="preserve">Eigenvectors in 5 levels: high school to research</t>
  </si>
  <si>
    <t xml:space="preserve">5 levels</t>
  </si>
  <si>
    <t xml:space="preserve">Dividing by Zero in Five Levels -- Elementary to Math Major</t>
  </si>
  <si>
    <t xml:space="preserve">Dr Sean</t>
  </si>
  <si>
    <t xml:space="preserve">https://youtu.be/dHdg1yn1SgE</t>
  </si>
  <si>
    <t xml:space="preserve">PS-04</t>
  </si>
  <si>
    <t xml:space="preserve">Grinstead &amp; Snell, Intro to Probability §4.1 Bayes (applications)</t>
  </si>
  <si>
    <t xml:space="preserve">The medical-test paradox: why a positive test might mean you're fine</t>
  </si>
  <si>
    <t xml:space="preserve">False Positives vs. False Negatives in Science and Statistics (Type 1 and Type 2 Error)</t>
  </si>
  <si>
    <t xml:space="preserve">Galak Breaks It Down</t>
  </si>
  <si>
    <t xml:space="preserve">https://youtu.be/Zf1MLaWIOfQ</t>
  </si>
  <si>
    <t xml:space="preserve">DE-20</t>
  </si>
  <si>
    <t xml:space="preserve">Trench, Elementary Differential Equations §8.6-8.7 Convolution and Impulse</t>
  </si>
  <si>
    <t xml:space="preserve">Convolution and the Dirac delta: what a hammer blow does to a system</t>
  </si>
  <si>
    <t xml:space="preserve">Convolution Explained Visually — Finally Understand the Math!</t>
  </si>
  <si>
    <t xml:space="preserve">https://youtu.be/F4Edh2S_I-Q</t>
  </si>
  <si>
    <t xml:space="preserve">PS-05</t>
  </si>
  <si>
    <t xml:space="preserve">Grinstead &amp; Snell, Intro to Probability §3.1 Permutations and Combinations</t>
  </si>
  <si>
    <t xml:space="preserve">Counting without listing: permutations and combinations in pictures</t>
  </si>
  <si>
    <t xml:space="preserve">0! = 1 Explained in 5 Levels from Counting to Math Major</t>
  </si>
  <si>
    <t xml:space="preserve">https://youtu.be/_v9xa2ohzIk</t>
  </si>
  <si>
    <t xml:space="preserve">LA-21</t>
  </si>
  <si>
    <t xml:space="preserve">How to actually find eigenvalues (characteristic polynomial, visualised)</t>
  </si>
  <si>
    <t xml:space="preserve">8: Eigenvalue Method for Systems - Dissecting Differential Equations</t>
  </si>
  <si>
    <t xml:space="preserve">https://youtu.be/E0YUvCqhr-c</t>
  </si>
  <si>
    <t xml:space="preserve">PS-06</t>
  </si>
  <si>
    <t xml:space="preserve">Grinstead &amp; Snell, Intro to Probability §5.1 Discrete Distributions</t>
  </si>
  <si>
    <t xml:space="preserve">Random variables and distributions: from a coin to a histogram</t>
  </si>
  <si>
    <t xml:space="preserve">Random Variables and Probability Distributions</t>
  </si>
  <si>
    <t xml:space="preserve">Dr Nic's Maths and Stats</t>
  </si>
  <si>
    <t xml:space="preserve">https://youtu.be/lHCpYeFvTs0</t>
  </si>
  <si>
    <t xml:space="preserve">DE-21</t>
  </si>
  <si>
    <t xml:space="preserve">Trench, Elementary Differential Equations §10.1-10.3 Linear Systems of DEs</t>
  </si>
  <si>
    <t xml:space="preserve">Systems of DEs: when two quantities depend on each other</t>
  </si>
  <si>
    <t xml:space="preserve">DE-11, LA-20</t>
  </si>
  <si>
    <t xml:space="preserve">Systems of linear first-order odes | Lecture 39 | Differential Equations for Engineers</t>
  </si>
  <si>
    <t xml:space="preserve">https://youtu.be/ASYKt0P7I9c</t>
  </si>
  <si>
    <t xml:space="preserve">PS-07</t>
  </si>
  <si>
    <t xml:space="preserve">Grinstead &amp; Snell, Intro to Probability §6.1 Expected Value</t>
  </si>
  <si>
    <t xml:space="preserve">Expected value: the number you'd get on average (and when it lies)</t>
  </si>
  <si>
    <t xml:space="preserve">Expected Value Explained Intuitively</t>
  </si>
  <si>
    <t xml:space="preserve">https://youtu.be/nKBun2JmqlE</t>
  </si>
  <si>
    <t xml:space="preserve">LA-22</t>
  </si>
  <si>
    <t xml:space="preserve">Hefferon, Linear Algebra §5.II.2 Diagonalizability</t>
  </si>
  <si>
    <t xml:space="preserve">Diagonalisation: why A = PDP⁻¹ makes everything easy</t>
  </si>
  <si>
    <t xml:space="preserve">Unitary Diagonalization - The Whole Enchilada!</t>
  </si>
  <si>
    <t xml:space="preserve">Andrew Misseldine</t>
  </si>
  <si>
    <t xml:space="preserve">https://youtu.be/hvGf1X-p6PM</t>
  </si>
  <si>
    <t xml:space="preserve">PS-08</t>
  </si>
  <si>
    <t xml:space="preserve">Grinstead &amp; Snell, Intro to Probability §6.2 Variance</t>
  </si>
  <si>
    <t xml:space="preserve">Variance and standard deviation: why we square the differences</t>
  </si>
  <si>
    <t xml:space="preserve">Covariance and correlation</t>
  </si>
  <si>
    <t xml:space="preserve">Ben Lambert</t>
  </si>
  <si>
    <t xml:space="preserve">https://youtu.be/KDw3hC2YNFc</t>
  </si>
  <si>
    <t xml:space="preserve">DE-22</t>
  </si>
  <si>
    <t xml:space="preserve">Trench, Elementary Differential Equations §10.4 Constant Coefficient Systems I</t>
  </si>
  <si>
    <t xml:space="preserve">Phase portraits I: real eigenvalues (saddles, sources, sinks)</t>
  </si>
  <si>
    <t xml:space="preserve">Phase portraits of linear systems | Lecture 42 | Differential Equations for Engineers</t>
  </si>
  <si>
    <t xml:space="preserve">https://youtu.be/UO_dgXa5szg</t>
  </si>
  <si>
    <t xml:space="preserve">PS-09</t>
  </si>
  <si>
    <t xml:space="preserve">OpenIntro Statistics (4e) §4.3 Binomial Distribution</t>
  </si>
  <si>
    <t xml:space="preserve">The binomial distribution: every yes/no experiment at once</t>
  </si>
  <si>
    <t xml:space="preserve">Understanding the Binomial Probability Distribution - statistics help</t>
  </si>
  <si>
    <t xml:space="preserve">https://youtu.be/3EZbX2ftCUk</t>
  </si>
  <si>
    <t xml:space="preserve">LA-23</t>
  </si>
  <si>
    <t xml:space="preserve">Hefferon, Linear Algebra §5.II Similarity</t>
  </si>
  <si>
    <t xml:space="preserve">Matrix powers, Fibonacci and the closed form (diagonalisation in action)</t>
  </si>
  <si>
    <t xml:space="preserve">One second to compute the largest Fibonacci number I can</t>
  </si>
  <si>
    <t xml:space="preserve">Sheafification of G</t>
  </si>
  <si>
    <t xml:space="preserve">https://youtu.be/KzT9I1d-LlQ</t>
  </si>
  <si>
    <t xml:space="preserve">PS-10</t>
  </si>
  <si>
    <t xml:space="preserve">OpenIntro Statistics (4e) §4.5 Poisson Distribution</t>
  </si>
  <si>
    <t xml:space="preserve">The Poisson distribution: counting rare events</t>
  </si>
  <si>
    <t xml:space="preserve">4. MLE Example: Poisson</t>
  </si>
  <si>
    <t xml:space="preserve">Christina Knudson (Dr. Knudson)</t>
  </si>
  <si>
    <t xml:space="preserve">https://youtu.be/n8YcOUZRZy8</t>
  </si>
  <si>
    <t xml:space="preserve">DE-23</t>
  </si>
  <si>
    <t xml:space="preserve">Trench, Elementary Differential Equations §10.6 Constant Coefficient Systems III</t>
  </si>
  <si>
    <t xml:space="preserve">Phase portraits II: complex eigenvalues (spirals and centres)</t>
  </si>
  <si>
    <t xml:space="preserve">PS-11</t>
  </si>
  <si>
    <t xml:space="preserve">OpenIntro Statistics (4e) §4.1 Normal Distribution</t>
  </si>
  <si>
    <t xml:space="preserve">Where the bell curve comes from</t>
  </si>
  <si>
    <t xml:space="preserve">Normal Distribution (PDF, CDF, PPF) in 3 Minutes</t>
  </si>
  <si>
    <t xml:space="preserve">3-Minute Data Science</t>
  </si>
  <si>
    <t xml:space="preserve">https://youtu.be/3VYupIsbLlY</t>
  </si>
  <si>
    <t xml:space="preserve">LA-24</t>
  </si>
  <si>
    <t xml:space="preserve">Hefferon, Linear Algebra Topic: Markov Chains</t>
  </si>
  <si>
    <t xml:space="preserve">Markov chains with matrices: where does the system end up?</t>
  </si>
  <si>
    <t xml:space="preserve">Markov Chains Clearly Explained! Part - 1</t>
  </si>
  <si>
    <t xml:space="preserve">Normalized Nerd</t>
  </si>
  <si>
    <t xml:space="preserve">https://youtu.be/i3AkTO9HLXo</t>
  </si>
  <si>
    <t xml:space="preserve">PS-12</t>
  </si>
  <si>
    <t xml:space="preserve">Grinstead &amp; Snell, Intro to Probability §8.1 Law of Large Numbers</t>
  </si>
  <si>
    <t xml:space="preserve">The law of large numbers: why casinos always win</t>
  </si>
  <si>
    <t xml:space="preserve">The Law of Large Numbers</t>
  </si>
  <si>
    <t xml:space="preserve">https://youtu.be/FYRnJh4PH3E</t>
  </si>
  <si>
    <t xml:space="preserve">DE-24</t>
  </si>
  <si>
    <t xml:space="preserve">Lebl, Notes on Diffy Qs §8.1-8.2 Nonlinear Systems / Linearisation</t>
  </si>
  <si>
    <t xml:space="preserve">Predator-prey and the pendulum: linearising nonlinear systems</t>
  </si>
  <si>
    <t xml:space="preserve">Double pendulum | Chaos | Butterfly effect | Computer simulation</t>
  </si>
  <si>
    <t xml:space="preserve">Think Twice</t>
  </si>
  <si>
    <t xml:space="preserve">https://youtu.be/d0Z8wLLPNE0</t>
  </si>
  <si>
    <t xml:space="preserve">PS-13</t>
  </si>
  <si>
    <t xml:space="preserve">Grinstead &amp; Snell, Intro to Probability §9.1 Central Limit Theorem</t>
  </si>
  <si>
    <t xml:space="preserve">The central limit theorem, visualised: why everything becomes normal</t>
  </si>
  <si>
    <t xml:space="preserve">Terence Tao's Central Limit Theorem Proof, Double Factorials (!!) and the Moment Method #SoME3</t>
  </si>
  <si>
    <t xml:space="preserve">Prof Mihai Nica</t>
  </si>
  <si>
    <t xml:space="preserve">https://youtu.be/oPQ4mNcqY7k</t>
  </si>
  <si>
    <t xml:space="preserve">LA-25</t>
  </si>
  <si>
    <t xml:space="preserve">Hefferon, Linear Algebra Topic: Page Ranking</t>
  </si>
  <si>
    <t xml:space="preserve">PageRank: the eigenvector that built Google</t>
  </si>
  <si>
    <t xml:space="preserve">Google Colab for Python Beginners - Visually Explained</t>
  </si>
  <si>
    <t xml:space="preserve">Visually Explained</t>
  </si>
  <si>
    <t xml:space="preserve">https://youtu.be/5sgJsCah9bs</t>
  </si>
  <si>
    <t xml:space="preserve">PS-14</t>
  </si>
  <si>
    <t xml:space="preserve">Grinstead &amp; Snell, Intro to Probability §11.1 Markov Chains</t>
  </si>
  <si>
    <t xml:space="preserve">Markov chains explained: memoryless systems and where they settle</t>
  </si>
  <si>
    <t xml:space="preserve">DE-25</t>
  </si>
  <si>
    <t xml:space="preserve">Trench, Elementary Differential Equations §7.1-7.2 Series Solutions</t>
  </si>
  <si>
    <t xml:space="preserve">Series solutions: when you can't solve it, approximate it</t>
  </si>
  <si>
    <t xml:space="preserve">Solving ODEs by Series Solutions: Legendre's ODE</t>
  </si>
  <si>
    <t xml:space="preserve">https://youtu.be/3e5BUrtUKZc</t>
  </si>
  <si>
    <t xml:space="preserve">PS-15</t>
  </si>
  <si>
    <t xml:space="preserve">Grinstead &amp; Snell, Intro to Probability §2.1 Simulation / Monte Carlo</t>
  </si>
  <si>
    <t xml:space="preserve">Monte Carlo simulation: solving hard problems with random numbers</t>
  </si>
  <si>
    <t xml:space="preserve">A Simple Solution for Really Hard Problems: Monte Carlo Simulation</t>
  </si>
  <si>
    <t xml:space="preserve">RiskByNumbers</t>
  </si>
  <si>
    <t xml:space="preserve">https://youtu.be/slbZ-SLpIgg</t>
  </si>
  <si>
    <t xml:space="preserve">LA-26</t>
  </si>
  <si>
    <t xml:space="preserve">Hefferon, Linear Algebra §5.I Complex Vector Spaces</t>
  </si>
  <si>
    <t xml:space="preserve">Complex eigenvalues mean rotation: the geometry nobody shows you</t>
  </si>
  <si>
    <t xml:space="preserve">systems with complex eigenvalues -- differential equations 23</t>
  </si>
  <si>
    <t xml:space="preserve">MathMajor </t>
  </si>
  <si>
    <t xml:space="preserve">https://youtu.be/jTY32VgmWPI</t>
  </si>
  <si>
    <t xml:space="preserve">PS-16</t>
  </si>
  <si>
    <t xml:space="preserve">OpenIntro Statistics (4e) §1.3 Sampling Principles</t>
  </si>
  <si>
    <t xml:space="preserve">Sampling methods: random, stratified, cluster (and what goes wrong)</t>
  </si>
  <si>
    <t xml:space="preserve">Sampling: Simple Random, Convenience, systematic, cluster, stratified - Statistics Help</t>
  </si>
  <si>
    <t xml:space="preserve">https://youtu.be/be9e-Q-jC-0</t>
  </si>
  <si>
    <t xml:space="preserve">DE-26</t>
  </si>
  <si>
    <t xml:space="preserve">Trench, Elementary Differential Equations §11.2 Fourier Series I</t>
  </si>
  <si>
    <t xml:space="preserve">Fourier series as a change of basis (the linear algebra view)</t>
  </si>
  <si>
    <t xml:space="preserve">12-15 min</t>
  </si>
  <si>
    <t xml:space="preserve">DE-11, LA-18</t>
  </si>
  <si>
    <t xml:space="preserve">Fourier Series Explained Visually — The Beauty of Mathematics</t>
  </si>
  <si>
    <t xml:space="preserve">https://youtu.be/eF2YEgipJTk</t>
  </si>
  <si>
    <t xml:space="preserve">XC-02</t>
  </si>
  <si>
    <t xml:space="preserve">Abide By Reason "discovery" format</t>
  </si>
  <si>
    <t xml:space="preserve">How Fourier discovered the Fourier series (and why nobody believed him)</t>
  </si>
  <si>
    <t xml:space="preserve">How Entropy Was Discovered</t>
  </si>
  <si>
    <t xml:space="preserve">Abide By Reason</t>
  </si>
  <si>
    <t xml:space="preserve">https://youtu.be/WI0ZLkxJ6Zk</t>
  </si>
  <si>
    <t xml:space="preserve">PS-17</t>
  </si>
  <si>
    <t xml:space="preserve">OpenIntro Statistics (4e) §1.2 Data Basics</t>
  </si>
  <si>
    <t xml:space="preserve">Types of data: nominal, ordinal, interval, ratio (and why it decides your test)</t>
  </si>
  <si>
    <t xml:space="preserve">Types of Data: Nominal, Ordinal, Interval/Ratio - Statistics Help</t>
  </si>
  <si>
    <t xml:space="preserve">https://youtu.be/hZxnzfnt5v8</t>
  </si>
  <si>
    <t xml:space="preserve">LA-27</t>
  </si>
  <si>
    <t xml:space="preserve">Hefferon, Linear Algebra §3.II-III Symmetric matrices (Spectral Theorem)</t>
  </si>
  <si>
    <t xml:space="preserve">The spectral theorem: why symmetric matrices are the nicest matrices</t>
  </si>
  <si>
    <t xml:space="preserve">Visualize Spectral Decomposition | SEE Matrix, Chapter 2</t>
  </si>
  <si>
    <t xml:space="preserve">Visual Kernel</t>
  </si>
  <si>
    <t xml:space="preserve">https://youtu.be/mhy-ZKSARxI</t>
  </si>
  <si>
    <t xml:space="preserve">PS-18</t>
  </si>
  <si>
    <t xml:space="preserve">OpenIntro Statistics (4e) §5.1 Point Estimates and Sampling Variability</t>
  </si>
  <si>
    <t xml:space="preserve">Sampling distributions: the idea the whole of statistics rests on</t>
  </si>
  <si>
    <t xml:space="preserve">The standard error of the mean (SEM)| how to calculate and interpret | SE vs SD</t>
  </si>
  <si>
    <t xml:space="preserve">TileStats</t>
  </si>
  <si>
    <t xml:space="preserve">https://youtu.be/xmlmL1-4oPE</t>
  </si>
  <si>
    <t xml:space="preserve">DE-27</t>
  </si>
  <si>
    <t xml:space="preserve">Trench, Elementary Differential Equations §12.1 The Heat Equation</t>
  </si>
  <si>
    <t xml:space="preserve">The heat equation: separation of variables from first principles</t>
  </si>
  <si>
    <t xml:space="preserve">PDE 13 | Wave equation: separation of variables</t>
  </si>
  <si>
    <t xml:space="preserve">https://youtu.be/EJLympg3XMM</t>
  </si>
  <si>
    <t xml:space="preserve">PS-19</t>
  </si>
  <si>
    <t xml:space="preserve">OpenIntro Statistics (4e) §5.2 Confidence Intervals</t>
  </si>
  <si>
    <t xml:space="preserve">Confidence intervals: what 95% really means</t>
  </si>
  <si>
    <t xml:space="preserve">Understanding Confidence Intervals: Statistics Help</t>
  </si>
  <si>
    <t xml:space="preserve">https://youtu.be/tFWsuO9f74o</t>
  </si>
  <si>
    <t xml:space="preserve">LA-28</t>
  </si>
  <si>
    <t xml:space="preserve">Hefferon, Linear Algebra Topic: Singular Value Decomposition</t>
  </si>
  <si>
    <t xml:space="preserve">SVD explained visually: every matrix is rotate-stretch-rotate</t>
  </si>
  <si>
    <t xml:space="preserve">What is the Singular Value Decomposition?</t>
  </si>
  <si>
    <t xml:space="preserve">Stochastic</t>
  </si>
  <si>
    <t xml:space="preserve">https://youtu.be/CpD9XlTu3ys</t>
  </si>
  <si>
    <t xml:space="preserve">PS-20</t>
  </si>
  <si>
    <t xml:space="preserve">OpenIntro Statistics (4e) §5.3 Hypothesis Testing</t>
  </si>
  <si>
    <t xml:space="preserve">Hypothesis testing step by step: null, alternative, decision</t>
  </si>
  <si>
    <t xml:space="preserve">Hypothesis testing: step-by-step, p-value, t-test for difference of two means - Statistics Help</t>
  </si>
  <si>
    <t xml:space="preserve">https://youtu.be/0zZYBALbZgg</t>
  </si>
  <si>
    <t xml:space="preserve">DE-28</t>
  </si>
  <si>
    <t xml:space="preserve">Trench, Elementary Differential Equations §12.2 The Wave Equation</t>
  </si>
  <si>
    <t xml:space="preserve">The wave equation: why a guitar string sounds the way it does</t>
  </si>
  <si>
    <t xml:space="preserve">PS-21</t>
  </si>
  <si>
    <t xml:space="preserve">OpenIntro Statistics (4e) §5.3 Hypothesis Testing (p-values)</t>
  </si>
  <si>
    <t xml:space="preserve">What a p-value is (and the 3 things it isn't)</t>
  </si>
  <si>
    <t xml:space="preserve">P-value in statistics: Understanding the p-value and what it tells us - Statistics Help</t>
  </si>
  <si>
    <t xml:space="preserve">https://youtu.be/eyknGvncKLw</t>
  </si>
  <si>
    <t xml:space="preserve">LA-29</t>
  </si>
  <si>
    <t xml:space="preserve">Hefferon, Linear Algebra Topic: SVD / Principal Component Analysis</t>
  </si>
  <si>
    <t xml:space="preserve">PCA from scratch: the linear algebra behind dimensionality reduction</t>
  </si>
  <si>
    <t xml:space="preserve">PCA : the math - step-by-step with a simple example</t>
  </si>
  <si>
    <t xml:space="preserve">https://youtu.be/S51bTyIwxFs</t>
  </si>
  <si>
    <t xml:space="preserve">PS-22</t>
  </si>
  <si>
    <t xml:space="preserve">OpenIntro Statistics (4e) §7.1 t-distribution</t>
  </si>
  <si>
    <t xml:space="preserve">The t-test and the t-distribution: small samples, honest uncertainty</t>
  </si>
  <si>
    <t xml:space="preserve">DE-29</t>
  </si>
  <si>
    <t xml:space="preserve">Trench, Elementary Differential Equations §12.3 Laplace's Equation</t>
  </si>
  <si>
    <t xml:space="preserve">Laplace's equation and steady states: the smoothest function in the room</t>
  </si>
  <si>
    <t xml:space="preserve">Complex analysis: Harmonic functions</t>
  </si>
  <si>
    <t xml:space="preserve">Richard E Borcherds</t>
  </si>
  <si>
    <t xml:space="preserve">https://youtu.be/NQFAxV6kdB8</t>
  </si>
  <si>
    <t xml:space="preserve">PS-23</t>
  </si>
  <si>
    <t xml:space="preserve">OpenIntro Statistics (4e) §5.3 Decision Errors / §7.4 Power</t>
  </si>
  <si>
    <t xml:space="preserve">Type I and Type II errors, power: the four outcomes of every test</t>
  </si>
  <si>
    <t xml:space="preserve">Type 1 and Type 2 errors - Statistics Help</t>
  </si>
  <si>
    <t xml:space="preserve">https://youtu.be/edzQQFNzFjM</t>
  </si>
  <si>
    <t xml:space="preserve">LA-30</t>
  </si>
  <si>
    <t xml:space="preserve">Hefferon, Linear Algebra §5.IV Jordan Form</t>
  </si>
  <si>
    <t xml:space="preserve">When a matrix can't be diagonalised: Jordan form, gently</t>
  </si>
  <si>
    <t xml:space="preserve">Why Some Matrices Cannot Be Diagonalized! 🤯 | Eigenvalues, Eigenvectors &amp; Jordan Form Explained</t>
  </si>
  <si>
    <t xml:space="preserve">https://youtu.be/DCoR7n5J_QM</t>
  </si>
  <si>
    <t xml:space="preserve">PS-24</t>
  </si>
  <si>
    <t xml:space="preserve">OpenIntro Statistics (4e) §7.5 ANOVA</t>
  </si>
  <si>
    <t xml:space="preserve">ANOVA explained visually: comparing many means at once</t>
  </si>
  <si>
    <t xml:space="preserve">Analysis of Variance (ANOVA) and F statistics .... MADE EASY!!!</t>
  </si>
  <si>
    <t xml:space="preserve">Stats with Brian</t>
  </si>
  <si>
    <t xml:space="preserve">https://youtu.be/YllG5Cy6OFw</t>
  </si>
  <si>
    <t xml:space="preserve">LA-31</t>
  </si>
  <si>
    <t xml:space="preserve">Hefferon, Linear Algebra §3.I Isomorphisms</t>
  </si>
  <si>
    <t xml:space="preserve">Isomorphism: when two vector spaces are secretly the same</t>
  </si>
  <si>
    <t xml:space="preserve">Simplifying problems with isomorphisms, explained — Group Theory Ep. 2</t>
  </si>
  <si>
    <t xml:space="preserve">Nemean</t>
  </si>
  <si>
    <t xml:space="preserve">https://youtu.be/VZiLpYC0t5E</t>
  </si>
  <si>
    <t xml:space="preserve">PS-25</t>
  </si>
  <si>
    <t xml:space="preserve">OpenIntro Statistics (4e) §6.3-6.4 Chi-square</t>
  </si>
  <si>
    <t xml:space="preserve">The chi-square test: are these categories independent?</t>
  </si>
  <si>
    <t xml:space="preserve">The Chi-square test of independence VS  homogeneity and goodness of fit</t>
  </si>
  <si>
    <t xml:space="preserve">https://youtu.be/TyD-_1JUhxw</t>
  </si>
  <si>
    <t xml:space="preserve">LA-32</t>
  </si>
  <si>
    <t xml:space="preserve">Hefferon, Linear Algebra §4.II Geometry of Determinants</t>
  </si>
  <si>
    <t xml:space="preserve">Cramer's rule as geometry (why it works, not just how)</t>
  </si>
  <si>
    <t xml:space="preserve">Geometric Algebra in 2D - Linear Algebra and Cramer's Rule</t>
  </si>
  <si>
    <t xml:space="preserve">Mathoma</t>
  </si>
  <si>
    <t xml:space="preserve">https://youtu.be/dnzUgDl43rQ</t>
  </si>
  <si>
    <t xml:space="preserve">PS-26</t>
  </si>
  <si>
    <t xml:space="preserve">OpenIntro Statistics (4e) Ch.5-7 (summary)</t>
  </si>
  <si>
    <t xml:space="preserve">Which statistical test should I use? A visual decision tree</t>
  </si>
  <si>
    <t xml:space="preserve">PS-20…PS-25</t>
  </si>
  <si>
    <t xml:space="preserve">Statistical Tests: Choosing which statistical test to use</t>
  </si>
  <si>
    <t xml:space="preserve">https://youtu.be/rulIUAN0U3w</t>
  </si>
  <si>
    <t xml:space="preserve">LA-33</t>
  </si>
  <si>
    <t xml:space="preserve">Hefferon, Linear Algebra Topic: Geometry of Linear Maps</t>
  </si>
  <si>
    <t xml:space="preserve">Shear, rotation, reflection, projection: the 2×2 matrix zoo</t>
  </si>
  <si>
    <t xml:space="preserve">3D Rotations in General: Rodrigues Rotation Formula and Quaternion Exponentials</t>
  </si>
  <si>
    <t xml:space="preserve">https://youtu.be/q-ESzg03mQc</t>
  </si>
  <si>
    <t xml:space="preserve">PS-27</t>
  </si>
  <si>
    <t xml:space="preserve">OpenIntro Statistics (4e) §8.1-8.2 Linear Regression</t>
  </si>
  <si>
    <t xml:space="preserve">Linear regression explained visually: the line that minimises squares</t>
  </si>
  <si>
    <t xml:space="preserve">PS-08, LA-19</t>
  </si>
  <si>
    <t xml:space="preserve">Linear Regression in 3 Minutes</t>
  </si>
  <si>
    <t xml:space="preserve">https://youtu.be/3dhcmeOTZ_Q</t>
  </si>
  <si>
    <t xml:space="preserve">LA-34</t>
  </si>
  <si>
    <t xml:space="preserve">Hefferon, Linear Algebra §3.VI Projection (applications)</t>
  </si>
  <si>
    <t xml:space="preserve">Why the normal equations work: least squares in one picture</t>
  </si>
  <si>
    <t xml:space="preserve">PS-28</t>
  </si>
  <si>
    <t xml:space="preserve">OpenIntro Statistics (4e) §8.1 Correlation</t>
  </si>
  <si>
    <t xml:space="preserve">Correlation and R²: what the numbers measure and what they miss</t>
  </si>
  <si>
    <t xml:space="preserve">LA-35</t>
  </si>
  <si>
    <t xml:space="preserve">Hefferon, Linear Algebra Topic: Dimensional Analysis / Orthogonal matrices</t>
  </si>
  <si>
    <t xml:space="preserve">Orthogonal matrices: transformations that preserve length</t>
  </si>
  <si>
    <t xml:space="preserve">Orthogonal matrices | Lecture 7 | Matrix Algebra for Engineers</t>
  </si>
  <si>
    <t xml:space="preserve">https://youtu.be/IGBm-gZryVI</t>
  </si>
  <si>
    <t xml:space="preserve">PS-29</t>
  </si>
  <si>
    <t xml:space="preserve">Downey, Think Stats §8 Estimation (MLE)</t>
  </si>
  <si>
    <t xml:space="preserve">Maximum likelihood estimation: the intuition behind fitting</t>
  </si>
  <si>
    <t xml:space="preserve">PS-06, Calculus 1</t>
  </si>
  <si>
    <t xml:space="preserve">1. Maximum Likelihood Estimation Basics</t>
  </si>
  <si>
    <t xml:space="preserve">https://youtu.be/93fPFOf547Q</t>
  </si>
  <si>
    <t xml:space="preserve">PS-30</t>
  </si>
  <si>
    <t xml:space="preserve">OpenIntro Statistics (4e) §9.5 Logistic Regression</t>
  </si>
  <si>
    <t xml:space="preserve">Logistic regression: how to predict a yes/no</t>
  </si>
  <si>
    <t xml:space="preserve">Logistic Regression in 3 Minutes</t>
  </si>
  <si>
    <t xml:space="preserve">https://youtu.be/EKm0spFxFG4</t>
  </si>
  <si>
    <t xml:space="preserve">PS-31</t>
  </si>
  <si>
    <t xml:space="preserve">OpenIntro + Grinstead &amp; Snell (whole)</t>
  </si>
  <si>
    <t xml:space="preserve">ALL of Probability &amp; Statistics in 10 minutes</t>
  </si>
  <si>
    <t xml:space="preserve">PS-01…PS-30</t>
  </si>
  <si>
    <t xml:space="preserve">The Map of Statistics (all of Statistics in 15 mins!)</t>
  </si>
  <si>
    <t xml:space="preserve">https://youtu.be/Xy4CLCpqUB4</t>
  </si>
  <si>
    <t xml:space="preserve">Yellow cells (Status, Publish date) are yours to edit. Week = Order / 3 rounded up (3 videos a week). Views / subs is a live formula.</t>
  </si>
  <si>
    <t xml:space="preserve">Phase</t>
  </si>
  <si>
    <t xml:space="preserve">Video 1</t>
  </si>
  <si>
    <t xml:space="preserve">Video 2</t>
  </si>
  <si>
    <t xml:space="preserve">Video 3</t>
  </si>
  <si>
    <t xml:space="preserve">Phase 1: LA + DE explainers</t>
  </si>
  <si>
    <t xml:space="preserve">LA-01  What a system of linear equations really is (and why 3 pictures beat 3 formulas)</t>
  </si>
  <si>
    <t xml:space="preserve">DE-01  What is a differential equation? (and why physics is written in them)</t>
  </si>
  <si>
    <t xml:space="preserve">LA-02  Gaussian elimination: the algorithm, visualised row by row</t>
  </si>
  <si>
    <t xml:space="preserve">DE-02  Slope fields: seeing every solution at once</t>
  </si>
  <si>
    <t xml:space="preserve">LA-03  Row echelon form explained: what the zeros are telling you</t>
  </si>
  <si>
    <t xml:space="preserve">DE-03  Separable equations: the first trick everyone learns, explained properly</t>
  </si>
  <si>
    <t xml:space="preserve">LA-04  Why solution sets are lines, planes and points (particular + homogeneous)</t>
  </si>
  <si>
    <t xml:space="preserve">DE-04  Integrating factors: where that mysterious e^∫p comes from</t>
  </si>
  <si>
    <t xml:space="preserve">LA-05  Vectors are not arrows: three ways to think about a vector</t>
  </si>
  <si>
    <t xml:space="preserve">DE-05  Existence and uniqueness, intuitively: when does a DE have one answer?</t>
  </si>
  <si>
    <t xml:space="preserve">LA-06  The dot product explained visually (projection, angle, work)</t>
  </si>
  <si>
    <t xml:space="preserve">DE-06  Exact equations and the hidden potential function</t>
  </si>
  <si>
    <t xml:space="preserve">LA-07  What a matrix really does: matrices as transformations</t>
  </si>
  <si>
    <t xml:space="preserve">DE-07  Exponential growth and decay: the DE behind every population curve</t>
  </si>
  <si>
    <t xml:space="preserve">LA-08  Why matrix multiplication is defined like that</t>
  </si>
  <si>
    <t xml:space="preserve">DE-08  Newton's law of cooling and the mixing-tank problem, animated</t>
  </si>
  <si>
    <t xml:space="preserve">LA-09  Span: everywhere your vectors can reach</t>
  </si>
  <si>
    <t xml:space="preserve">DE-09  The phase line: stability without solving anything</t>
  </si>
  <si>
    <t xml:space="preserve">LA-10  Linear independence: when is a vector redundant?</t>
  </si>
  <si>
    <t xml:space="preserve">DE-10  Euler's method to Runge-Kutta: how computers solve DEs</t>
  </si>
  <si>
    <t xml:space="preserve">LA-11  Basis and dimension: choosing your coordinate system</t>
  </si>
  <si>
    <t xml:space="preserve">DE-11  Second-order linear DEs: why solutions form a 2D space</t>
  </si>
  <si>
    <t xml:space="preserve">LA-12  Rank and nullity: what a matrix destroys and what it keeps</t>
  </si>
  <si>
    <t xml:space="preserve">DE-12  The characteristic equation: three cases, three pictures</t>
  </si>
  <si>
    <t xml:space="preserve">Phase 1: LA anchor + explainers</t>
  </si>
  <si>
    <t xml:space="preserve">LA-36  ALL of Linear Algebra in 8 minutes</t>
  </si>
  <si>
    <t xml:space="preserve">LA-13  The inverse matrix: undoing a transformation (and when you can't)</t>
  </si>
  <si>
    <t xml:space="preserve">DE-13  The mass on a spring: damping, visualised</t>
  </si>
  <si>
    <t xml:space="preserve">Phase 2: LA + DE explainers</t>
  </si>
  <si>
    <t xml:space="preserve">LA-14  Why is the determinant like that? (area, volume and sign)</t>
  </si>
  <si>
    <t xml:space="preserve">DE-14  Forcing terms and undetermined coefficients: guessing with a method</t>
  </si>
  <si>
    <t xml:space="preserve">LA-15  Cofactor expansion without tears: where the formula comes from</t>
  </si>
  <si>
    <t xml:space="preserve">DE-15  Resonance: why bridges and wine glasses break</t>
  </si>
  <si>
    <t xml:space="preserve">LA-16  Change of basis: the same vector in two languages</t>
  </si>
  <si>
    <t xml:space="preserve">DE-16  Variation of parameters, demystified</t>
  </si>
  <si>
    <t xml:space="preserve">LA-17  Orthogonal projection: the closest point and why it matters</t>
  </si>
  <si>
    <t xml:space="preserve">DE-17  The Laplace transform, visually: what it does to a function</t>
  </si>
  <si>
    <t xml:space="preserve">LA-18  Gram-Schmidt in 3D: building an orthonormal basis step by step</t>
  </si>
  <si>
    <t xml:space="preserve">Phase 2: DE anchor; stats lane opens</t>
  </si>
  <si>
    <t xml:space="preserve">DE-18  Solving differential equations with Laplace: turning calculus into algebra</t>
  </si>
  <si>
    <t xml:space="preserve">DE-30  ALL of Differential Equations in 10 minutes</t>
  </si>
  <si>
    <t xml:space="preserve">PS-01  What probability actually is: three interpretations, one set of rules</t>
  </si>
  <si>
    <t xml:space="preserve">Phase 3: Stats + remaining LA/DE</t>
  </si>
  <si>
    <t xml:space="preserve">LA-19  Least squares explained visually: regression is projection</t>
  </si>
  <si>
    <t xml:space="preserve">PS-02  Conditional probability: why your intuition fails (and how to fix it)</t>
  </si>
  <si>
    <t xml:space="preserve">DE-19  Step functions and switches: Laplace for piecewise forcing</t>
  </si>
  <si>
    <t xml:space="preserve">PS-03  Bayes' theorem, visually: updating beliefs with evidence</t>
  </si>
  <si>
    <t xml:space="preserve">XC-03  How Bayes' theorem was lost, found and started a 200-year argument</t>
  </si>
  <si>
    <t xml:space="preserve">LA-20  Eigenvectors and eigenvalues: the directions a matrix doesn't turn</t>
  </si>
  <si>
    <t xml:space="preserve">XC-01  Eigenvectors in 5 levels: high school to research</t>
  </si>
  <si>
    <t xml:space="preserve">PS-04  The medical-test paradox: why a positive test might mean you're fine</t>
  </si>
  <si>
    <t xml:space="preserve">DE-20  Convolution and the Dirac delta: what a hammer blow does to a system</t>
  </si>
  <si>
    <t xml:space="preserve">PS-05  Counting without listing: permutations and combinations in pictures</t>
  </si>
  <si>
    <t xml:space="preserve">LA-21  How to actually find eigenvalues (characteristic polynomial, visualised)</t>
  </si>
  <si>
    <t xml:space="preserve">PS-06  Random variables and distributions: from a coin to a histogram</t>
  </si>
  <si>
    <t xml:space="preserve">DE-21  Systems of DEs: when two quantities depend on each other</t>
  </si>
  <si>
    <t xml:space="preserve">PS-07  Expected value: the number you'd get on average (and when it lies)</t>
  </si>
  <si>
    <t xml:space="preserve">LA-22  Diagonalisation: why A = PDP⁻¹ makes everything easy</t>
  </si>
  <si>
    <t xml:space="preserve">PS-08  Variance and standard deviation: why we square the differences</t>
  </si>
  <si>
    <t xml:space="preserve">DE-22  Phase portraits I: real eigenvalues (saddles, sources, sinks)</t>
  </si>
  <si>
    <t xml:space="preserve">PS-09  The binomial distribution: every yes/no experiment at once</t>
  </si>
  <si>
    <t xml:space="preserve">LA-23  Matrix powers, Fibonacci and the closed form (diagonalisation in action)</t>
  </si>
  <si>
    <t xml:space="preserve">PS-10  The Poisson distribution: counting rare events</t>
  </si>
  <si>
    <t xml:space="preserve">DE-23  Phase portraits II: complex eigenvalues (spirals and centres)</t>
  </si>
  <si>
    <t xml:space="preserve">PS-11  Where the bell curve comes from</t>
  </si>
  <si>
    <t xml:space="preserve">LA-24  Markov chains with matrices: where does the system end up?</t>
  </si>
  <si>
    <t xml:space="preserve">PS-12  The law of large numbers: why casinos always win</t>
  </si>
  <si>
    <t xml:space="preserve">DE-24  Predator-prey and the pendulum: linearising nonlinear systems</t>
  </si>
  <si>
    <t xml:space="preserve">PS-13  The central limit theorem, visualised: why everything becomes normal</t>
  </si>
  <si>
    <t xml:space="preserve">LA-25  PageRank: the eigenvector that built Google</t>
  </si>
  <si>
    <t xml:space="preserve">PS-14  Markov chains explained: memoryless systems and where they settle</t>
  </si>
  <si>
    <t xml:space="preserve">DE-25  Series solutions: when you can't solve it, approximate it</t>
  </si>
  <si>
    <t xml:space="preserve">PS-15  Monte Carlo simulation: solving hard problems with random numbers</t>
  </si>
  <si>
    <t xml:space="preserve">LA-26  Complex eigenvalues mean rotation: the geometry nobody shows you</t>
  </si>
  <si>
    <t xml:space="preserve">PS-16  Sampling methods: random, stratified, cluster (and what goes wrong)</t>
  </si>
  <si>
    <t xml:space="preserve">DE-26  Fourier series as a change of basis (the linear algebra view)</t>
  </si>
  <si>
    <t xml:space="preserve">XC-02  How Fourier discovered the Fourier series (and why nobody believed him)</t>
  </si>
  <si>
    <t xml:space="preserve">PS-17  Types of data: nominal, ordinal, interval, ratio (and why it decides your test)</t>
  </si>
  <si>
    <t xml:space="preserve">LA-27  The spectral theorem: why symmetric matrices are the nicest matrices</t>
  </si>
  <si>
    <t xml:space="preserve">PS-18  Sampling distributions: the idea the whole of statistics rests on</t>
  </si>
  <si>
    <t xml:space="preserve">DE-27  The heat equation: separation of variables from first principles</t>
  </si>
  <si>
    <t xml:space="preserve">PS-19  Confidence intervals: what 95% really means</t>
  </si>
  <si>
    <t xml:space="preserve">LA-28  SVD explained visually: every matrix is rotate-stretch-rotate</t>
  </si>
  <si>
    <t xml:space="preserve">PS-20  Hypothesis testing step by step: null, alternative, decision</t>
  </si>
  <si>
    <t xml:space="preserve">DE-28  The wave equation: why a guitar string sounds the way it does</t>
  </si>
  <si>
    <t xml:space="preserve">PS-21  What a p-value is (and the 3 things it isn't)</t>
  </si>
  <si>
    <t xml:space="preserve">LA-29  PCA from scratch: the linear algebra behind dimensionality reduction</t>
  </si>
  <si>
    <t xml:space="preserve">PS-22  The t-test and the t-distribution: small samples, honest uncertainty</t>
  </si>
  <si>
    <t xml:space="preserve">DE-29  Laplace's equation and steady states: the smoothest function in the room</t>
  </si>
  <si>
    <t xml:space="preserve">PS-23  Type I and Type II errors, power: the four outcomes of every test</t>
  </si>
  <si>
    <t xml:space="preserve">LA-30  When a matrix can't be diagonalised: Jordan form, gently</t>
  </si>
  <si>
    <t xml:space="preserve">PS-24  ANOVA explained visually: comparing many means at once</t>
  </si>
  <si>
    <t xml:space="preserve">LA-31  Isomorphism: when two vector spaces are secretly the same</t>
  </si>
  <si>
    <t xml:space="preserve">PS-25  The chi-square test: are these categories independent?</t>
  </si>
  <si>
    <t xml:space="preserve">LA-32  Cramer's rule as geometry (why it works, not just how)</t>
  </si>
  <si>
    <t xml:space="preserve">PS-26  Which statistical test should I use? A visual decision tree</t>
  </si>
  <si>
    <t xml:space="preserve">LA-33  Shear, rotation, reflection, projection: the 2×2 matrix zoo</t>
  </si>
  <si>
    <t xml:space="preserve">PS-27  Linear regression explained visually: the line that minimises squares</t>
  </si>
  <si>
    <t xml:space="preserve">LA-34  Why the normal equations work: least squares in one picture</t>
  </si>
  <si>
    <t xml:space="preserve">PS-28  Correlation and R²: what the numbers measure and what they miss</t>
  </si>
  <si>
    <t xml:space="preserve">LA-35  Orthogonal matrices: transformations that preserve length</t>
  </si>
  <si>
    <t xml:space="preserve">PS-29  Maximum likelihood estimation: the intuition behind fitting</t>
  </si>
  <si>
    <t xml:space="preserve">PS-30  Logistic regression: how to predict a yes/no</t>
  </si>
  <si>
    <t xml:space="preserve">Phase 3: Stats anchor</t>
  </si>
  <si>
    <t xml:space="preserve">PS-31  ALL of Probability &amp; Statistics in 10 minutes</t>
  </si>
  <si>
    <t xml:space="preserve">Source section</t>
  </si>
  <si>
    <t xml:space="preserve">Length</t>
  </si>
  <si>
    <t xml:space="preserve">Production order</t>
  </si>
  <si>
    <t xml:space="preserve">Progress</t>
  </si>
  <si>
    <t xml:space="preserve">By status</t>
  </si>
  <si>
    <t xml:space="preserve">By course</t>
  </si>
  <si>
    <t xml:space="preserve">Videos</t>
  </si>
  <si>
    <t xml:space="preserve">Published</t>
  </si>
  <si>
    <t xml:space="preserve">By demand signal</t>
  </si>
  <si>
    <t xml:space="preserve">Scripted</t>
  </si>
  <si>
    <t xml:space="preserve">Audio done</t>
  </si>
  <si>
    <t xml:space="preserve">Rendered</t>
  </si>
  <si>
    <t xml:space="preserve">Total</t>
  </si>
  <si>
    <t xml:space="preserve">Next up (first 5 not yet published)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</si>
</sst>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yyyy\-mm\-dd"/>
    <numFmt numFmtId="168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color rgb="FF80808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youtu.be/RgnWMBpQPXk" TargetMode="External"/><Relationship Id="rId2" Type="http://schemas.openxmlformats.org/officeDocument/2006/relationships/hyperlink" Target="https://youtu.be/HKvP2ESjJbA" TargetMode="External"/><Relationship Id="rId3" Type="http://schemas.openxmlformats.org/officeDocument/2006/relationships/hyperlink" Target="https://youtu.be/wY4TAheBsj4" TargetMode="External"/><Relationship Id="rId4" Type="http://schemas.openxmlformats.org/officeDocument/2006/relationships/hyperlink" Target="https://youtu.be/MI2xCwBekX4" TargetMode="External"/><Relationship Id="rId5" Type="http://schemas.openxmlformats.org/officeDocument/2006/relationships/hyperlink" Target="https://youtu.be/wY4TAheBsj4" TargetMode="External"/><Relationship Id="rId6" Type="http://schemas.openxmlformats.org/officeDocument/2006/relationships/hyperlink" Target="https://youtu.be/CK_U4OrXiXI" TargetMode="External"/><Relationship Id="rId7" Type="http://schemas.openxmlformats.org/officeDocument/2006/relationships/hyperlink" Target="https://youtu.be/1b857qTFTgw" TargetMode="External"/><Relationship Id="rId8" Type="http://schemas.openxmlformats.org/officeDocument/2006/relationships/hyperlink" Target="https://youtu.be/GIpOcHNK7eQ" TargetMode="External"/><Relationship Id="rId9" Type="http://schemas.openxmlformats.org/officeDocument/2006/relationships/hyperlink" Target="https://youtu.be/Zx6bizDdkRE" TargetMode="External"/><Relationship Id="rId10" Type="http://schemas.openxmlformats.org/officeDocument/2006/relationships/hyperlink" Target="https://youtu.be/53BPf9JrFcU" TargetMode="External"/><Relationship Id="rId11" Type="http://schemas.openxmlformats.org/officeDocument/2006/relationships/hyperlink" Target="https://youtu.be/Ww_aQqWZhz8" TargetMode="External"/><Relationship Id="rId12" Type="http://schemas.openxmlformats.org/officeDocument/2006/relationships/hyperlink" Target="https://youtu.be/Ii_MCo6RodA" TargetMode="External"/><Relationship Id="rId13" Type="http://schemas.openxmlformats.org/officeDocument/2006/relationships/hyperlink" Target="https://youtu.be/qt9LlujnLAs" TargetMode="External"/><Relationship Id="rId14" Type="http://schemas.openxmlformats.org/officeDocument/2006/relationships/hyperlink" Target="https://youtu.be/gtCswEF3bho" TargetMode="External"/><Relationship Id="rId15" Type="http://schemas.openxmlformats.org/officeDocument/2006/relationships/hyperlink" Target="https://youtu.be/OcznDjdY46k" TargetMode="External"/><Relationship Id="rId16" Type="http://schemas.openxmlformats.org/officeDocument/2006/relationships/hyperlink" Target="https://youtu.be/-Fd6Ates4Gs" TargetMode="External"/><Relationship Id="rId17" Type="http://schemas.openxmlformats.org/officeDocument/2006/relationships/hyperlink" Target="https://youtu.be/OpcznwRgUaY" TargetMode="External"/><Relationship Id="rId18" Type="http://schemas.openxmlformats.org/officeDocument/2006/relationships/hyperlink" Target="https://youtu.be/H4fwoVUltl4" TargetMode="External"/><Relationship Id="rId19" Type="http://schemas.openxmlformats.org/officeDocument/2006/relationships/hyperlink" Target="https://youtu.be/qDnBvZOfFrs" TargetMode="External"/><Relationship Id="rId20" Type="http://schemas.openxmlformats.org/officeDocument/2006/relationships/hyperlink" Target="https://youtu.be/C4UymmEi3Kw" TargetMode="External"/><Relationship Id="rId21" Type="http://schemas.openxmlformats.org/officeDocument/2006/relationships/hyperlink" Target="https://youtu.be/rtEk1at3sVk" TargetMode="External"/><Relationship Id="rId22" Type="http://schemas.openxmlformats.org/officeDocument/2006/relationships/hyperlink" Target="https://youtu.be/FmLOWvfF_ww" TargetMode="External"/><Relationship Id="rId23" Type="http://schemas.openxmlformats.org/officeDocument/2006/relationships/hyperlink" Target="https://youtu.be/XIZxlNvAAjo" TargetMode="External"/><Relationship Id="rId24" Type="http://schemas.openxmlformats.org/officeDocument/2006/relationships/hyperlink" Target="https://youtu.be/Ef3CNDTAuBM" TargetMode="External"/><Relationship Id="rId25" Type="http://schemas.openxmlformats.org/officeDocument/2006/relationships/hyperlink" Target="https://youtu.be/QL4_4GAWvPs" TargetMode="External"/><Relationship Id="rId26" Type="http://schemas.openxmlformats.org/officeDocument/2006/relationships/hyperlink" Target="https://youtu.be/vKBNzM3V-Rc" TargetMode="External"/><Relationship Id="rId27" Type="http://schemas.openxmlformats.org/officeDocument/2006/relationships/hyperlink" Target="https://youtu.be/-pXnfzQfupE" TargetMode="External"/><Relationship Id="rId28" Type="http://schemas.openxmlformats.org/officeDocument/2006/relationships/hyperlink" Target="https://youtu.be/Sv7VseMsOQc" TargetMode="External"/><Relationship Id="rId29" Type="http://schemas.openxmlformats.org/officeDocument/2006/relationships/hyperlink" Target="https://youtu.be/rYq319AOT9E" TargetMode="External"/><Relationship Id="rId30" Type="http://schemas.openxmlformats.org/officeDocument/2006/relationships/hyperlink" Target="https://youtu.be/7R-AIrWfeH8" TargetMode="External"/><Relationship Id="rId31" Type="http://schemas.openxmlformats.org/officeDocument/2006/relationships/hyperlink" Target="https://youtu.be/sYkojeGZ_vE" TargetMode="External"/><Relationship Id="rId32" Type="http://schemas.openxmlformats.org/officeDocument/2006/relationships/hyperlink" Target="https://youtu.be/PMldTftChtQ" TargetMode="External"/><Relationship Id="rId33" Type="http://schemas.openxmlformats.org/officeDocument/2006/relationships/hyperlink" Target="https://youtu.be/eoXn6nwV694" TargetMode="External"/><Relationship Id="rId34" Type="http://schemas.openxmlformats.org/officeDocument/2006/relationships/hyperlink" Target="https://youtu.be/diOh7onaIjA" TargetMode="External"/><Relationship Id="rId35" Type="http://schemas.openxmlformats.org/officeDocument/2006/relationships/hyperlink" Target="https://youtu.be/pIy8xqh9sWs" TargetMode="External"/><Relationship Id="rId36" Type="http://schemas.openxmlformats.org/officeDocument/2006/relationships/hyperlink" Target="https://youtu.be/it4qnGcXals" TargetMode="External"/><Relationship Id="rId37" Type="http://schemas.openxmlformats.org/officeDocument/2006/relationships/hyperlink" Target="https://youtu.be/P1s16tvCLTw" TargetMode="External"/><Relationship Id="rId38" Type="http://schemas.openxmlformats.org/officeDocument/2006/relationships/hyperlink" Target="https://youtu.be/EIrsmnodNOM" TargetMode="External"/><Relationship Id="rId39" Type="http://schemas.openxmlformats.org/officeDocument/2006/relationships/hyperlink" Target="https://youtu.be/UdADuHJUX6Q" TargetMode="External"/><Relationship Id="rId40" Type="http://schemas.openxmlformats.org/officeDocument/2006/relationships/hyperlink" Target="https://youtu.be/dnGJoOHfDBo" TargetMode="External"/><Relationship Id="rId41" Type="http://schemas.openxmlformats.org/officeDocument/2006/relationships/hyperlink" Target="https://youtu.be/T0Xn-92j2EU" TargetMode="External"/><Relationship Id="rId42" Type="http://schemas.openxmlformats.org/officeDocument/2006/relationships/hyperlink" Target="https://youtu.be/3jP4H0kjtng" TargetMode="External"/><Relationship Id="rId43" Type="http://schemas.openxmlformats.org/officeDocument/2006/relationships/hyperlink" Target="https://youtu.be/3jP4H0kjtng" TargetMode="External"/><Relationship Id="rId44" Type="http://schemas.openxmlformats.org/officeDocument/2006/relationships/hyperlink" Target="https://youtu.be/ue3yoeZvt8E" TargetMode="External"/><Relationship Id="rId45" Type="http://schemas.openxmlformats.org/officeDocument/2006/relationships/hyperlink" Target="https://youtu.be/dHdg1yn1SgE" TargetMode="External"/><Relationship Id="rId46" Type="http://schemas.openxmlformats.org/officeDocument/2006/relationships/hyperlink" Target="https://youtu.be/Zf1MLaWIOfQ" TargetMode="External"/><Relationship Id="rId47" Type="http://schemas.openxmlformats.org/officeDocument/2006/relationships/hyperlink" Target="https://youtu.be/F4Edh2S_I-Q" TargetMode="External"/><Relationship Id="rId48" Type="http://schemas.openxmlformats.org/officeDocument/2006/relationships/hyperlink" Target="https://youtu.be/_v9xa2ohzIk" TargetMode="External"/><Relationship Id="rId49" Type="http://schemas.openxmlformats.org/officeDocument/2006/relationships/hyperlink" Target="https://youtu.be/E0YUvCqhr-c" TargetMode="External"/><Relationship Id="rId50" Type="http://schemas.openxmlformats.org/officeDocument/2006/relationships/hyperlink" Target="https://youtu.be/lHCpYeFvTs0" TargetMode="External"/><Relationship Id="rId51" Type="http://schemas.openxmlformats.org/officeDocument/2006/relationships/hyperlink" Target="https://youtu.be/ASYKt0P7I9c" TargetMode="External"/><Relationship Id="rId52" Type="http://schemas.openxmlformats.org/officeDocument/2006/relationships/hyperlink" Target="https://youtu.be/nKBun2JmqlE" TargetMode="External"/><Relationship Id="rId53" Type="http://schemas.openxmlformats.org/officeDocument/2006/relationships/hyperlink" Target="https://youtu.be/hvGf1X-p6PM" TargetMode="External"/><Relationship Id="rId54" Type="http://schemas.openxmlformats.org/officeDocument/2006/relationships/hyperlink" Target="https://youtu.be/KDw3hC2YNFc" TargetMode="External"/><Relationship Id="rId55" Type="http://schemas.openxmlformats.org/officeDocument/2006/relationships/hyperlink" Target="https://youtu.be/UO_dgXa5szg" TargetMode="External"/><Relationship Id="rId56" Type="http://schemas.openxmlformats.org/officeDocument/2006/relationships/hyperlink" Target="https://youtu.be/3EZbX2ftCUk" TargetMode="External"/><Relationship Id="rId57" Type="http://schemas.openxmlformats.org/officeDocument/2006/relationships/hyperlink" Target="https://youtu.be/KzT9I1d-LlQ" TargetMode="External"/><Relationship Id="rId58" Type="http://schemas.openxmlformats.org/officeDocument/2006/relationships/hyperlink" Target="https://youtu.be/n8YcOUZRZy8" TargetMode="External"/><Relationship Id="rId59" Type="http://schemas.openxmlformats.org/officeDocument/2006/relationships/hyperlink" Target="https://youtu.be/UO_dgXa5szg" TargetMode="External"/><Relationship Id="rId60" Type="http://schemas.openxmlformats.org/officeDocument/2006/relationships/hyperlink" Target="https://youtu.be/3VYupIsbLlY" TargetMode="External"/><Relationship Id="rId61" Type="http://schemas.openxmlformats.org/officeDocument/2006/relationships/hyperlink" Target="https://youtu.be/i3AkTO9HLXo" TargetMode="External"/><Relationship Id="rId62" Type="http://schemas.openxmlformats.org/officeDocument/2006/relationships/hyperlink" Target="https://youtu.be/FYRnJh4PH3E" TargetMode="External"/><Relationship Id="rId63" Type="http://schemas.openxmlformats.org/officeDocument/2006/relationships/hyperlink" Target="https://youtu.be/d0Z8wLLPNE0" TargetMode="External"/><Relationship Id="rId64" Type="http://schemas.openxmlformats.org/officeDocument/2006/relationships/hyperlink" Target="https://youtu.be/oPQ4mNcqY7k" TargetMode="External"/><Relationship Id="rId65" Type="http://schemas.openxmlformats.org/officeDocument/2006/relationships/hyperlink" Target="https://youtu.be/5sgJsCah9bs" TargetMode="External"/><Relationship Id="rId66" Type="http://schemas.openxmlformats.org/officeDocument/2006/relationships/hyperlink" Target="https://youtu.be/i3AkTO9HLXo" TargetMode="External"/><Relationship Id="rId67" Type="http://schemas.openxmlformats.org/officeDocument/2006/relationships/hyperlink" Target="https://youtu.be/3e5BUrtUKZc" TargetMode="External"/><Relationship Id="rId68" Type="http://schemas.openxmlformats.org/officeDocument/2006/relationships/hyperlink" Target="https://youtu.be/slbZ-SLpIgg" TargetMode="External"/><Relationship Id="rId69" Type="http://schemas.openxmlformats.org/officeDocument/2006/relationships/hyperlink" Target="https://youtu.be/jTY32VgmWPI" TargetMode="External"/><Relationship Id="rId70" Type="http://schemas.openxmlformats.org/officeDocument/2006/relationships/hyperlink" Target="https://youtu.be/be9e-Q-jC-0" TargetMode="External"/><Relationship Id="rId71" Type="http://schemas.openxmlformats.org/officeDocument/2006/relationships/hyperlink" Target="https://youtu.be/eF2YEgipJTk" TargetMode="External"/><Relationship Id="rId72" Type="http://schemas.openxmlformats.org/officeDocument/2006/relationships/hyperlink" Target="https://youtu.be/WI0ZLkxJ6Zk" TargetMode="External"/><Relationship Id="rId73" Type="http://schemas.openxmlformats.org/officeDocument/2006/relationships/hyperlink" Target="https://youtu.be/hZxnzfnt5v8" TargetMode="External"/><Relationship Id="rId74" Type="http://schemas.openxmlformats.org/officeDocument/2006/relationships/hyperlink" Target="https://youtu.be/mhy-ZKSARxI" TargetMode="External"/><Relationship Id="rId75" Type="http://schemas.openxmlformats.org/officeDocument/2006/relationships/hyperlink" Target="https://youtu.be/xmlmL1-4oPE" TargetMode="External"/><Relationship Id="rId76" Type="http://schemas.openxmlformats.org/officeDocument/2006/relationships/hyperlink" Target="https://youtu.be/EJLympg3XMM" TargetMode="External"/><Relationship Id="rId77" Type="http://schemas.openxmlformats.org/officeDocument/2006/relationships/hyperlink" Target="https://youtu.be/tFWsuO9f74o" TargetMode="External"/><Relationship Id="rId78" Type="http://schemas.openxmlformats.org/officeDocument/2006/relationships/hyperlink" Target="https://youtu.be/CpD9XlTu3ys" TargetMode="External"/><Relationship Id="rId79" Type="http://schemas.openxmlformats.org/officeDocument/2006/relationships/hyperlink" Target="https://youtu.be/0zZYBALbZgg" TargetMode="External"/><Relationship Id="rId80" Type="http://schemas.openxmlformats.org/officeDocument/2006/relationships/hyperlink" Target="https://youtu.be/EJLympg3XMM" TargetMode="External"/><Relationship Id="rId81" Type="http://schemas.openxmlformats.org/officeDocument/2006/relationships/hyperlink" Target="https://youtu.be/eyknGvncKLw" TargetMode="External"/><Relationship Id="rId82" Type="http://schemas.openxmlformats.org/officeDocument/2006/relationships/hyperlink" Target="https://youtu.be/S51bTyIwxFs" TargetMode="External"/><Relationship Id="rId83" Type="http://schemas.openxmlformats.org/officeDocument/2006/relationships/hyperlink" Target="https://youtu.be/0zZYBALbZgg" TargetMode="External"/><Relationship Id="rId84" Type="http://schemas.openxmlformats.org/officeDocument/2006/relationships/hyperlink" Target="https://youtu.be/NQFAxV6kdB8" TargetMode="External"/><Relationship Id="rId85" Type="http://schemas.openxmlformats.org/officeDocument/2006/relationships/hyperlink" Target="https://youtu.be/edzQQFNzFjM" TargetMode="External"/><Relationship Id="rId86" Type="http://schemas.openxmlformats.org/officeDocument/2006/relationships/hyperlink" Target="https://youtu.be/DCoR7n5J_QM" TargetMode="External"/><Relationship Id="rId87" Type="http://schemas.openxmlformats.org/officeDocument/2006/relationships/hyperlink" Target="https://youtu.be/YllG5Cy6OFw" TargetMode="External"/><Relationship Id="rId88" Type="http://schemas.openxmlformats.org/officeDocument/2006/relationships/hyperlink" Target="https://youtu.be/VZiLpYC0t5E" TargetMode="External"/><Relationship Id="rId89" Type="http://schemas.openxmlformats.org/officeDocument/2006/relationships/hyperlink" Target="https://youtu.be/TyD-_1JUhxw" TargetMode="External"/><Relationship Id="rId90" Type="http://schemas.openxmlformats.org/officeDocument/2006/relationships/hyperlink" Target="https://youtu.be/dnzUgDl43rQ" TargetMode="External"/><Relationship Id="rId91" Type="http://schemas.openxmlformats.org/officeDocument/2006/relationships/hyperlink" Target="https://youtu.be/rulIUAN0U3w" TargetMode="External"/><Relationship Id="rId92" Type="http://schemas.openxmlformats.org/officeDocument/2006/relationships/hyperlink" Target="https://youtu.be/q-ESzg03mQc" TargetMode="External"/><Relationship Id="rId93" Type="http://schemas.openxmlformats.org/officeDocument/2006/relationships/hyperlink" Target="https://youtu.be/3dhcmeOTZ_Q" TargetMode="External"/><Relationship Id="rId94" Type="http://schemas.openxmlformats.org/officeDocument/2006/relationships/hyperlink" Target="https://youtu.be/3dhcmeOTZ_Q" TargetMode="External"/><Relationship Id="rId95" Type="http://schemas.openxmlformats.org/officeDocument/2006/relationships/hyperlink" Target="https://youtu.be/KDw3hC2YNFc" TargetMode="External"/><Relationship Id="rId96" Type="http://schemas.openxmlformats.org/officeDocument/2006/relationships/hyperlink" Target="https://youtu.be/IGBm-gZryVI" TargetMode="External"/><Relationship Id="rId97" Type="http://schemas.openxmlformats.org/officeDocument/2006/relationships/hyperlink" Target="https://youtu.be/93fPFOf547Q" TargetMode="External"/><Relationship Id="rId98" Type="http://schemas.openxmlformats.org/officeDocument/2006/relationships/hyperlink" Target="https://youtu.be/EKm0spFxFG4" TargetMode="External"/><Relationship Id="rId99" Type="http://schemas.openxmlformats.org/officeDocument/2006/relationships/hyperlink" Target="https://youtu.be/Xy4CLCpqUB4" TargetMode="External"/><Relationship Id="rId100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3.85" hidden="false" customHeight="false" outlineLevel="0" collapsed="false">
      <c r="A15" s="2" t="s">
        <v>12</v>
      </c>
    </row>
    <row r="16" customFormat="false" ht="23.8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1" t="s">
        <v>17</v>
      </c>
    </row>
    <row r="22" customFormat="false" ht="35.05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40"/>
    <col collapsed="false" customWidth="true" hidden="false" outlineLevel="0" max="7" min="7" style="0" width="58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4" min="11" style="0" width="10"/>
    <col collapsed="false" customWidth="true" hidden="false" outlineLevel="0" max="15" min="15" style="0" width="48"/>
    <col collapsed="false" customWidth="true" hidden="false" outlineLevel="0" max="16" min="16" style="0" width="20"/>
    <col collapsed="false" customWidth="true" hidden="false" outlineLevel="0" max="18" min="17" style="0" width="11"/>
    <col collapsed="false" customWidth="true" hidden="false" outlineLevel="0" max="20" min="19" style="0" width="9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26"/>
    <col collapsed="false" customWidth="true" hidden="false" outlineLevel="0" max="25" min="24" style="0" width="12"/>
    <col collapsed="false" customWidth="true" hidden="false" outlineLevel="0" max="26" min="26" style="0" width="30"/>
    <col collapsed="false" customWidth="true" hidden="false" outlineLevel="0" max="27" min="27" style="0" width="10"/>
  </cols>
  <sheetData>
    <row r="1" customFormat="false" ht="33.75" hidden="false" customHeight="true" outlineLevel="0" collapsed="false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3" t="s">
        <v>44</v>
      </c>
      <c r="AA1" s="3" t="s">
        <v>45</v>
      </c>
    </row>
    <row r="2" customFormat="false" ht="26.85" hidden="false" customHeight="false" outlineLevel="0" collapsed="false">
      <c r="A2" s="4" t="n">
        <v>1</v>
      </c>
      <c r="B2" s="4" t="n">
        <f aca="false">ROUNDUP(A2/3,0)</f>
        <v>1</v>
      </c>
      <c r="C2" s="4" t="s">
        <v>46</v>
      </c>
      <c r="D2" s="4" t="s">
        <v>47</v>
      </c>
      <c r="E2" s="4" t="n">
        <v>1</v>
      </c>
      <c r="F2" s="5" t="s">
        <v>48</v>
      </c>
      <c r="G2" s="5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n">
        <v>112</v>
      </c>
      <c r="M2" s="4" t="n">
        <v>18</v>
      </c>
      <c r="N2" s="4" t="n">
        <v>4</v>
      </c>
      <c r="O2" s="5" t="s">
        <v>54</v>
      </c>
      <c r="P2" s="4" t="s">
        <v>55</v>
      </c>
      <c r="Q2" s="6" t="n">
        <v>102000</v>
      </c>
      <c r="R2" s="6" t="n">
        <v>489000</v>
      </c>
      <c r="S2" s="7" t="n">
        <f aca="false">IF(OR(Q2="",Q2=0,R2=""),"",R2/Q2)</f>
        <v>4.79411764705882</v>
      </c>
      <c r="T2" s="7" t="n">
        <v>8</v>
      </c>
      <c r="U2" s="6" t="n">
        <f aca="false">IF(OR(T2="",R2=""),"",R2/T2)</f>
        <v>61125</v>
      </c>
      <c r="V2" s="7" t="n">
        <f aca="false">IF(OR(Q2="",Q2=0,U2=""),"",U2/Q2)</f>
        <v>0.599264705882353</v>
      </c>
      <c r="W2" s="8" t="s">
        <v>56</v>
      </c>
      <c r="X2" s="9" t="s">
        <v>57</v>
      </c>
      <c r="Y2" s="10"/>
      <c r="Z2" s="4"/>
      <c r="AA2" s="11" t="n">
        <f aca="false">IF(X2&lt;&gt;"Published",COUNTIF($X$2:X2,"&lt;&gt;Published"),"")</f>
        <v>1</v>
      </c>
    </row>
    <row r="3" customFormat="false" ht="26.85" hidden="false" customHeight="false" outlineLevel="0" collapsed="false">
      <c r="A3" s="4" t="n">
        <v>2</v>
      </c>
      <c r="B3" s="4" t="n">
        <f aca="false">ROUNDUP(A3/3,0)</f>
        <v>1</v>
      </c>
      <c r="C3" s="4" t="s">
        <v>58</v>
      </c>
      <c r="D3" s="4" t="s">
        <v>59</v>
      </c>
      <c r="E3" s="4" t="n">
        <v>1</v>
      </c>
      <c r="F3" s="5" t="s">
        <v>60</v>
      </c>
      <c r="G3" s="5" t="s">
        <v>61</v>
      </c>
      <c r="H3" s="4" t="s">
        <v>50</v>
      </c>
      <c r="I3" s="4" t="s">
        <v>51</v>
      </c>
      <c r="J3" s="4" t="s">
        <v>62</v>
      </c>
      <c r="K3" s="4" t="s">
        <v>63</v>
      </c>
      <c r="L3" s="4" t="n">
        <v>4</v>
      </c>
      <c r="M3" s="4" t="n">
        <v>1</v>
      </c>
      <c r="N3" s="4" t="n">
        <v>0</v>
      </c>
      <c r="O3" s="5" t="s">
        <v>64</v>
      </c>
      <c r="P3" s="4" t="s">
        <v>65</v>
      </c>
      <c r="Q3" s="6" t="n">
        <v>43100</v>
      </c>
      <c r="R3" s="6" t="n">
        <v>318000</v>
      </c>
      <c r="S3" s="7" t="n">
        <f aca="false">IF(OR(Q3="",Q3=0,R3=""),"",R3/Q3)</f>
        <v>7.37819025522042</v>
      </c>
      <c r="T3" s="7" t="n">
        <v>14</v>
      </c>
      <c r="U3" s="6" t="n">
        <f aca="false">IF(OR(T3="",R3=""),"",R3/T3)</f>
        <v>22714.2857142857</v>
      </c>
      <c r="V3" s="7" t="n">
        <f aca="false">IF(OR(Q3="",Q3=0,U3=""),"",U3/Q3)</f>
        <v>0.527013589658601</v>
      </c>
      <c r="W3" s="8" t="s">
        <v>66</v>
      </c>
      <c r="X3" s="9" t="s">
        <v>57</v>
      </c>
      <c r="Y3" s="10"/>
      <c r="Z3" s="4"/>
      <c r="AA3" s="11" t="n">
        <f aca="false">IF(X3&lt;&gt;"Published",COUNTIF($X$2:X3,"&lt;&gt;Published"),"")</f>
        <v>2</v>
      </c>
    </row>
    <row r="4" customFormat="false" ht="26.85" hidden="false" customHeight="false" outlineLevel="0" collapsed="false">
      <c r="A4" s="4" t="n">
        <v>3</v>
      </c>
      <c r="B4" s="4" t="n">
        <f aca="false">ROUNDUP(A4/3,0)</f>
        <v>1</v>
      </c>
      <c r="C4" s="4" t="s">
        <v>67</v>
      </c>
      <c r="D4" s="4" t="s">
        <v>47</v>
      </c>
      <c r="E4" s="4" t="n">
        <v>2</v>
      </c>
      <c r="F4" s="5" t="s">
        <v>48</v>
      </c>
      <c r="G4" s="5" t="s">
        <v>68</v>
      </c>
      <c r="H4" s="4" t="s">
        <v>50</v>
      </c>
      <c r="I4" s="4" t="s">
        <v>69</v>
      </c>
      <c r="J4" s="4" t="s">
        <v>46</v>
      </c>
      <c r="K4" s="4" t="s">
        <v>63</v>
      </c>
      <c r="L4" s="4" t="n">
        <v>29</v>
      </c>
      <c r="M4" s="4" t="n">
        <v>7</v>
      </c>
      <c r="N4" s="4" t="n">
        <v>1</v>
      </c>
      <c r="O4" s="5" t="s">
        <v>70</v>
      </c>
      <c r="P4" s="4" t="s">
        <v>71</v>
      </c>
      <c r="Q4" s="6" t="n">
        <v>41900</v>
      </c>
      <c r="R4" s="6" t="n">
        <v>312000</v>
      </c>
      <c r="S4" s="7" t="n">
        <f aca="false">IF(OR(Q4="",Q4=0,R4=""),"",R4/Q4)</f>
        <v>7.44630071599045</v>
      </c>
      <c r="T4" s="7" t="n">
        <v>14</v>
      </c>
      <c r="U4" s="6" t="n">
        <f aca="false">IF(OR(T4="",R4=""),"",R4/T4)</f>
        <v>22285.7142857143</v>
      </c>
      <c r="V4" s="7" t="n">
        <f aca="false">IF(OR(Q4="",Q4=0,U4=""),"",U4/Q4)</f>
        <v>0.531878622570747</v>
      </c>
      <c r="W4" s="8" t="s">
        <v>72</v>
      </c>
      <c r="X4" s="9" t="s">
        <v>57</v>
      </c>
      <c r="Y4" s="10"/>
      <c r="Z4" s="4"/>
      <c r="AA4" s="11" t="n">
        <f aca="false">IF(X4&lt;&gt;"Published",COUNTIF($X$2:X4,"&lt;&gt;Published"),"")</f>
        <v>3</v>
      </c>
    </row>
    <row r="5" customFormat="false" ht="26.85" hidden="false" customHeight="false" outlineLevel="0" collapsed="false">
      <c r="A5" s="4" t="n">
        <v>4</v>
      </c>
      <c r="B5" s="4" t="n">
        <f aca="false">ROUNDUP(A5/3,0)</f>
        <v>2</v>
      </c>
      <c r="C5" s="4" t="s">
        <v>73</v>
      </c>
      <c r="D5" s="4" t="s">
        <v>59</v>
      </c>
      <c r="E5" s="4" t="n">
        <v>2</v>
      </c>
      <c r="F5" s="5" t="s">
        <v>74</v>
      </c>
      <c r="G5" s="5" t="s">
        <v>75</v>
      </c>
      <c r="H5" s="4" t="s">
        <v>50</v>
      </c>
      <c r="I5" s="4" t="s">
        <v>69</v>
      </c>
      <c r="J5" s="4" t="s">
        <v>58</v>
      </c>
      <c r="K5" s="4" t="s">
        <v>63</v>
      </c>
      <c r="L5" s="4" t="n">
        <v>6</v>
      </c>
      <c r="M5" s="4" t="n">
        <v>2</v>
      </c>
      <c r="N5" s="4" t="n">
        <v>0</v>
      </c>
      <c r="O5" s="5" t="s">
        <v>76</v>
      </c>
      <c r="P5" s="4" t="s">
        <v>65</v>
      </c>
      <c r="Q5" s="6" t="n">
        <v>43100</v>
      </c>
      <c r="R5" s="6" t="n">
        <v>64000</v>
      </c>
      <c r="S5" s="7" t="n">
        <f aca="false">IF(OR(Q5="",Q5=0,R5=""),"",R5/Q5)</f>
        <v>1.48491879350348</v>
      </c>
      <c r="T5" s="7" t="n">
        <v>14</v>
      </c>
      <c r="U5" s="6" t="n">
        <f aca="false">IF(OR(T5="",R5=""),"",R5/T5)</f>
        <v>4571.42857142857</v>
      </c>
      <c r="V5" s="7" t="n">
        <f aca="false">IF(OR(Q5="",Q5=0,U5=""),"",U5/Q5)</f>
        <v>0.106065628107391</v>
      </c>
      <c r="W5" s="8" t="s">
        <v>77</v>
      </c>
      <c r="X5" s="9" t="s">
        <v>57</v>
      </c>
      <c r="Y5" s="10"/>
      <c r="Z5" s="4"/>
      <c r="AA5" s="11" t="n">
        <f aca="false">IF(X5&lt;&gt;"Published",COUNTIF($X$2:X5,"&lt;&gt;Published"),"")</f>
        <v>4</v>
      </c>
    </row>
    <row r="6" customFormat="false" ht="26.85" hidden="false" customHeight="false" outlineLevel="0" collapsed="false">
      <c r="A6" s="4" t="n">
        <v>5</v>
      </c>
      <c r="B6" s="4" t="n">
        <f aca="false">ROUNDUP(A6/3,0)</f>
        <v>2</v>
      </c>
      <c r="C6" s="4" t="s">
        <v>78</v>
      </c>
      <c r="D6" s="4" t="s">
        <v>47</v>
      </c>
      <c r="E6" s="4" t="n">
        <v>3</v>
      </c>
      <c r="F6" s="5" t="s">
        <v>79</v>
      </c>
      <c r="G6" s="5" t="s">
        <v>80</v>
      </c>
      <c r="H6" s="4" t="s">
        <v>50</v>
      </c>
      <c r="I6" s="4" t="s">
        <v>51</v>
      </c>
      <c r="J6" s="4" t="s">
        <v>67</v>
      </c>
      <c r="K6" s="4" t="s">
        <v>63</v>
      </c>
      <c r="L6" s="4" t="n">
        <v>14</v>
      </c>
      <c r="M6" s="4" t="n">
        <v>4</v>
      </c>
      <c r="N6" s="4" t="n">
        <v>0</v>
      </c>
      <c r="O6" s="5" t="s">
        <v>70</v>
      </c>
      <c r="P6" s="4" t="s">
        <v>71</v>
      </c>
      <c r="Q6" s="6" t="n">
        <v>41900</v>
      </c>
      <c r="R6" s="6" t="n">
        <v>312000</v>
      </c>
      <c r="S6" s="7" t="n">
        <f aca="false">IF(OR(Q6="",Q6=0,R6=""),"",R6/Q6)</f>
        <v>7.44630071599045</v>
      </c>
      <c r="T6" s="7" t="n">
        <v>14</v>
      </c>
      <c r="U6" s="6" t="n">
        <f aca="false">IF(OR(T6="",R6=""),"",R6/T6)</f>
        <v>22285.7142857143</v>
      </c>
      <c r="V6" s="7" t="n">
        <f aca="false">IF(OR(Q6="",Q6=0,U6=""),"",U6/Q6)</f>
        <v>0.531878622570747</v>
      </c>
      <c r="W6" s="8" t="s">
        <v>72</v>
      </c>
      <c r="X6" s="9" t="s">
        <v>57</v>
      </c>
      <c r="Y6" s="10"/>
      <c r="Z6" s="4"/>
      <c r="AA6" s="11" t="n">
        <f aca="false">IF(X6&lt;&gt;"Published",COUNTIF($X$2:X6,"&lt;&gt;Published"),"")</f>
        <v>5</v>
      </c>
    </row>
    <row r="7" customFormat="false" ht="26.85" hidden="false" customHeight="false" outlineLevel="0" collapsed="false">
      <c r="A7" s="4" t="n">
        <v>6</v>
      </c>
      <c r="B7" s="4" t="n">
        <f aca="false">ROUNDUP(A7/3,0)</f>
        <v>2</v>
      </c>
      <c r="C7" s="4" t="s">
        <v>81</v>
      </c>
      <c r="D7" s="4" t="s">
        <v>59</v>
      </c>
      <c r="E7" s="4" t="n">
        <v>3</v>
      </c>
      <c r="F7" s="5" t="s">
        <v>82</v>
      </c>
      <c r="G7" s="5" t="s">
        <v>83</v>
      </c>
      <c r="H7" s="4" t="s">
        <v>50</v>
      </c>
      <c r="I7" s="4" t="s">
        <v>69</v>
      </c>
      <c r="J7" s="4" t="s">
        <v>58</v>
      </c>
      <c r="K7" s="4" t="s">
        <v>84</v>
      </c>
      <c r="L7" s="4" t="n">
        <v>3</v>
      </c>
      <c r="M7" s="4" t="n">
        <v>0</v>
      </c>
      <c r="N7" s="4" t="n">
        <v>0</v>
      </c>
      <c r="O7" s="5" t="s">
        <v>85</v>
      </c>
      <c r="P7" s="4" t="s">
        <v>86</v>
      </c>
      <c r="Q7" s="6" t="n">
        <v>1750</v>
      </c>
      <c r="R7" s="6" t="n">
        <v>678</v>
      </c>
      <c r="S7" s="7" t="n">
        <f aca="false">IF(OR(Q7="",Q7=0,R7=""),"",R7/Q7)</f>
        <v>0.387428571428571</v>
      </c>
      <c r="T7" s="7" t="n">
        <v>6</v>
      </c>
      <c r="U7" s="6" t="n">
        <f aca="false">IF(OR(T7="",R7=""),"",R7/T7)</f>
        <v>113</v>
      </c>
      <c r="V7" s="7" t="n">
        <f aca="false">IF(OR(Q7="",Q7=0,U7=""),"",U7/Q7)</f>
        <v>0.0645714285714286</v>
      </c>
      <c r="W7" s="8" t="s">
        <v>87</v>
      </c>
      <c r="X7" s="9" t="s">
        <v>57</v>
      </c>
      <c r="Y7" s="10"/>
      <c r="Z7" s="4"/>
      <c r="AA7" s="11" t="n">
        <f aca="false">IF(X7&lt;&gt;"Published",COUNTIF($X$2:X7,"&lt;&gt;Published"),"")</f>
        <v>6</v>
      </c>
    </row>
    <row r="8" customFormat="false" ht="26.85" hidden="false" customHeight="false" outlineLevel="0" collapsed="false">
      <c r="A8" s="4" t="n">
        <v>7</v>
      </c>
      <c r="B8" s="4" t="n">
        <f aca="false">ROUNDUP(A8/3,0)</f>
        <v>3</v>
      </c>
      <c r="C8" s="4" t="s">
        <v>88</v>
      </c>
      <c r="D8" s="4" t="s">
        <v>47</v>
      </c>
      <c r="E8" s="4" t="n">
        <v>4</v>
      </c>
      <c r="F8" s="5" t="s">
        <v>89</v>
      </c>
      <c r="G8" s="5" t="s">
        <v>90</v>
      </c>
      <c r="H8" s="4" t="s">
        <v>50</v>
      </c>
      <c r="I8" s="4" t="s">
        <v>51</v>
      </c>
      <c r="J8" s="4" t="s">
        <v>78</v>
      </c>
      <c r="K8" s="4" t="s">
        <v>84</v>
      </c>
      <c r="L8" s="4" t="n">
        <v>16</v>
      </c>
      <c r="M8" s="4" t="n">
        <v>0</v>
      </c>
      <c r="N8" s="4" t="n">
        <v>0</v>
      </c>
      <c r="O8" s="5" t="s">
        <v>91</v>
      </c>
      <c r="P8" s="4" t="s">
        <v>71</v>
      </c>
      <c r="Q8" s="6" t="n">
        <v>41900</v>
      </c>
      <c r="R8" s="6" t="n">
        <v>30000</v>
      </c>
      <c r="S8" s="7" t="n">
        <f aca="false">IF(OR(Q8="",Q8=0,R8=""),"",R8/Q8)</f>
        <v>0.715990453460621</v>
      </c>
      <c r="T8" s="7" t="n">
        <v>5</v>
      </c>
      <c r="U8" s="6" t="n">
        <f aca="false">IF(OR(T8="",R8=""),"",R8/T8)</f>
        <v>6000</v>
      </c>
      <c r="V8" s="7" t="n">
        <f aca="false">IF(OR(Q8="",Q8=0,U8=""),"",U8/Q8)</f>
        <v>0.143198090692124</v>
      </c>
      <c r="W8" s="8" t="s">
        <v>92</v>
      </c>
      <c r="X8" s="9" t="s">
        <v>57</v>
      </c>
      <c r="Y8" s="10"/>
      <c r="Z8" s="4"/>
      <c r="AA8" s="11" t="n">
        <f aca="false">IF(X8&lt;&gt;"Published",COUNTIF($X$2:X8,"&lt;&gt;Published"),"")</f>
        <v>7</v>
      </c>
    </row>
    <row r="9" customFormat="false" ht="26.85" hidden="false" customHeight="false" outlineLevel="0" collapsed="false">
      <c r="A9" s="4" t="n">
        <v>8</v>
      </c>
      <c r="B9" s="4" t="n">
        <f aca="false">ROUNDUP(A9/3,0)</f>
        <v>3</v>
      </c>
      <c r="C9" s="4" t="s">
        <v>93</v>
      </c>
      <c r="D9" s="4" t="s">
        <v>59</v>
      </c>
      <c r="E9" s="4" t="n">
        <v>4</v>
      </c>
      <c r="F9" s="5" t="s">
        <v>94</v>
      </c>
      <c r="G9" s="5" t="s">
        <v>95</v>
      </c>
      <c r="H9" s="4" t="s">
        <v>50</v>
      </c>
      <c r="I9" s="4" t="s">
        <v>69</v>
      </c>
      <c r="J9" s="4" t="s">
        <v>81</v>
      </c>
      <c r="K9" s="4" t="s">
        <v>63</v>
      </c>
      <c r="L9" s="4" t="n">
        <v>16</v>
      </c>
      <c r="M9" s="4" t="n">
        <v>1</v>
      </c>
      <c r="N9" s="4" t="n">
        <v>0</v>
      </c>
      <c r="O9" s="5" t="s">
        <v>96</v>
      </c>
      <c r="P9" s="4" t="s">
        <v>65</v>
      </c>
      <c r="Q9" s="6" t="n">
        <v>43100</v>
      </c>
      <c r="R9" s="6" t="n">
        <v>48000</v>
      </c>
      <c r="S9" s="7" t="n">
        <f aca="false">IF(OR(Q9="",Q9=0,R9=""),"",R9/Q9)</f>
        <v>1.11368909512761</v>
      </c>
      <c r="T9" s="7" t="n">
        <v>14</v>
      </c>
      <c r="U9" s="6" t="n">
        <f aca="false">IF(OR(T9="",R9=""),"",R9/T9)</f>
        <v>3428.57142857143</v>
      </c>
      <c r="V9" s="7" t="n">
        <f aca="false">IF(OR(Q9="",Q9=0,U9=""),"",U9/Q9)</f>
        <v>0.0795492210805436</v>
      </c>
      <c r="W9" s="8" t="s">
        <v>97</v>
      </c>
      <c r="X9" s="9" t="s">
        <v>57</v>
      </c>
      <c r="Y9" s="10"/>
      <c r="Z9" s="4"/>
      <c r="AA9" s="11" t="n">
        <f aca="false">IF(X9&lt;&gt;"Published",COUNTIF($X$2:X9,"&lt;&gt;Published"),"")</f>
        <v>8</v>
      </c>
    </row>
    <row r="10" customFormat="false" ht="26.85" hidden="false" customHeight="false" outlineLevel="0" collapsed="false">
      <c r="A10" s="4" t="n">
        <v>9</v>
      </c>
      <c r="B10" s="4" t="n">
        <f aca="false">ROUNDUP(A10/3,0)</f>
        <v>3</v>
      </c>
      <c r="C10" s="4" t="s">
        <v>98</v>
      </c>
      <c r="D10" s="4" t="s">
        <v>47</v>
      </c>
      <c r="E10" s="4" t="n">
        <v>5</v>
      </c>
      <c r="F10" s="5" t="s">
        <v>99</v>
      </c>
      <c r="G10" s="5" t="s">
        <v>100</v>
      </c>
      <c r="H10" s="4" t="s">
        <v>50</v>
      </c>
      <c r="I10" s="4" t="s">
        <v>51</v>
      </c>
      <c r="J10" s="4" t="s">
        <v>52</v>
      </c>
      <c r="K10" s="4" t="s">
        <v>84</v>
      </c>
      <c r="L10" s="4" t="n">
        <v>6</v>
      </c>
      <c r="M10" s="4" t="n">
        <v>0</v>
      </c>
      <c r="N10" s="4" t="n">
        <v>0</v>
      </c>
      <c r="O10" s="5" t="s">
        <v>101</v>
      </c>
      <c r="P10" s="4" t="s">
        <v>102</v>
      </c>
      <c r="Q10" s="6" t="n">
        <v>98800</v>
      </c>
      <c r="R10" s="6" t="n">
        <v>26000</v>
      </c>
      <c r="S10" s="7" t="n">
        <f aca="false">IF(OR(Q10="",Q10=0,R10=""),"",R10/Q10)</f>
        <v>0.263157894736842</v>
      </c>
      <c r="T10" s="7" t="n">
        <v>8</v>
      </c>
      <c r="U10" s="6" t="n">
        <f aca="false">IF(OR(T10="",R10=""),"",R10/T10)</f>
        <v>3250</v>
      </c>
      <c r="V10" s="7" t="n">
        <f aca="false">IF(OR(Q10="",Q10=0,U10=""),"",U10/Q10)</f>
        <v>0.0328947368421053</v>
      </c>
      <c r="W10" s="8" t="s">
        <v>103</v>
      </c>
      <c r="X10" s="9" t="s">
        <v>57</v>
      </c>
      <c r="Y10" s="10"/>
      <c r="Z10" s="4"/>
      <c r="AA10" s="11" t="n">
        <f aca="false">IF(X10&lt;&gt;"Published",COUNTIF($X$2:X10,"&lt;&gt;Published"),"")</f>
        <v>9</v>
      </c>
    </row>
    <row r="11" customFormat="false" ht="26.85" hidden="false" customHeight="false" outlineLevel="0" collapsed="false">
      <c r="A11" s="4" t="n">
        <v>10</v>
      </c>
      <c r="B11" s="4" t="n">
        <f aca="false">ROUNDUP(A11/3,0)</f>
        <v>4</v>
      </c>
      <c r="C11" s="4" t="s">
        <v>104</v>
      </c>
      <c r="D11" s="4" t="s">
        <v>59</v>
      </c>
      <c r="E11" s="4" t="n">
        <v>5</v>
      </c>
      <c r="F11" s="5" t="s">
        <v>105</v>
      </c>
      <c r="G11" s="5" t="s">
        <v>106</v>
      </c>
      <c r="H11" s="4" t="s">
        <v>50</v>
      </c>
      <c r="I11" s="4" t="s">
        <v>69</v>
      </c>
      <c r="J11" s="4" t="s">
        <v>73</v>
      </c>
      <c r="K11" s="4" t="s">
        <v>63</v>
      </c>
      <c r="L11" s="4" t="n">
        <v>11</v>
      </c>
      <c r="M11" s="4" t="n">
        <v>3</v>
      </c>
      <c r="N11" s="4" t="n">
        <v>0</v>
      </c>
      <c r="O11" s="5" t="s">
        <v>107</v>
      </c>
      <c r="P11" s="4" t="s">
        <v>65</v>
      </c>
      <c r="Q11" s="6" t="n">
        <v>43100</v>
      </c>
      <c r="R11" s="6" t="n">
        <v>370000</v>
      </c>
      <c r="S11" s="7" t="n">
        <f aca="false">IF(OR(Q11="",Q11=0,R11=""),"",R11/Q11)</f>
        <v>8.584686774942</v>
      </c>
      <c r="T11" s="7" t="n">
        <v>14</v>
      </c>
      <c r="U11" s="6" t="n">
        <f aca="false">IF(OR(T11="",R11=""),"",R11/T11)</f>
        <v>26428.5714285714</v>
      </c>
      <c r="V11" s="7" t="n">
        <f aca="false">IF(OR(Q11="",Q11=0,U11=""),"",U11/Q11)</f>
        <v>0.613191912495857</v>
      </c>
      <c r="W11" s="8" t="s">
        <v>108</v>
      </c>
      <c r="X11" s="9" t="s">
        <v>57</v>
      </c>
      <c r="Y11" s="10"/>
      <c r="Z11" s="4"/>
      <c r="AA11" s="11" t="n">
        <f aca="false">IF(X11&lt;&gt;"Published",COUNTIF($X$2:X11,"&lt;&gt;Published"),"")</f>
        <v>10</v>
      </c>
    </row>
    <row r="12" customFormat="false" ht="26.85" hidden="false" customHeight="false" outlineLevel="0" collapsed="false">
      <c r="A12" s="4" t="n">
        <v>11</v>
      </c>
      <c r="B12" s="4" t="n">
        <f aca="false">ROUNDUP(A12/3,0)</f>
        <v>4</v>
      </c>
      <c r="C12" s="4" t="s">
        <v>109</v>
      </c>
      <c r="D12" s="4" t="s">
        <v>47</v>
      </c>
      <c r="E12" s="4" t="n">
        <v>6</v>
      </c>
      <c r="F12" s="5" t="s">
        <v>110</v>
      </c>
      <c r="G12" s="5" t="s">
        <v>111</v>
      </c>
      <c r="H12" s="4" t="s">
        <v>50</v>
      </c>
      <c r="I12" s="4" t="s">
        <v>69</v>
      </c>
      <c r="J12" s="4" t="s">
        <v>98</v>
      </c>
      <c r="K12" s="4" t="s">
        <v>63</v>
      </c>
      <c r="L12" s="4" t="n">
        <v>32</v>
      </c>
      <c r="M12" s="4" t="n">
        <v>1</v>
      </c>
      <c r="N12" s="4" t="n">
        <v>0</v>
      </c>
      <c r="O12" s="5" t="s">
        <v>112</v>
      </c>
      <c r="P12" s="4" t="s">
        <v>102</v>
      </c>
      <c r="Q12" s="6" t="n">
        <v>98800</v>
      </c>
      <c r="R12" s="6" t="n">
        <v>175000</v>
      </c>
      <c r="S12" s="7" t="n">
        <f aca="false">IF(OR(Q12="",Q12=0,R12=""),"",R12/Q12)</f>
        <v>1.77125506072875</v>
      </c>
      <c r="T12" s="7" t="n">
        <v>9</v>
      </c>
      <c r="U12" s="6" t="n">
        <f aca="false">IF(OR(T12="",R12=""),"",R12/T12)</f>
        <v>19444.4444444444</v>
      </c>
      <c r="V12" s="7" t="n">
        <f aca="false">IF(OR(Q12="",Q12=0,U12=""),"",U12/Q12)</f>
        <v>0.196806117858749</v>
      </c>
      <c r="W12" s="8" t="s">
        <v>113</v>
      </c>
      <c r="X12" s="9" t="s">
        <v>57</v>
      </c>
      <c r="Y12" s="10"/>
      <c r="Z12" s="4"/>
      <c r="AA12" s="11" t="n">
        <f aca="false">IF(X12&lt;&gt;"Published",COUNTIF($X$2:X12,"&lt;&gt;Published"),"")</f>
        <v>11</v>
      </c>
    </row>
    <row r="13" customFormat="false" ht="26.85" hidden="false" customHeight="false" outlineLevel="0" collapsed="false">
      <c r="A13" s="4" t="n">
        <v>12</v>
      </c>
      <c r="B13" s="4" t="n">
        <f aca="false">ROUNDUP(A13/3,0)</f>
        <v>4</v>
      </c>
      <c r="C13" s="4" t="s">
        <v>114</v>
      </c>
      <c r="D13" s="4" t="s">
        <v>59</v>
      </c>
      <c r="E13" s="4" t="n">
        <v>6</v>
      </c>
      <c r="F13" s="5" t="s">
        <v>115</v>
      </c>
      <c r="G13" s="5" t="s">
        <v>116</v>
      </c>
      <c r="H13" s="4" t="s">
        <v>50</v>
      </c>
      <c r="I13" s="4" t="s">
        <v>69</v>
      </c>
      <c r="J13" s="4" t="s">
        <v>93</v>
      </c>
      <c r="K13" s="4" t="s">
        <v>84</v>
      </c>
      <c r="L13" s="4" t="n">
        <v>2</v>
      </c>
      <c r="M13" s="4" t="n">
        <v>0</v>
      </c>
      <c r="N13" s="4" t="n">
        <v>0</v>
      </c>
      <c r="O13" s="5" t="s">
        <v>117</v>
      </c>
      <c r="P13" s="4" t="s">
        <v>86</v>
      </c>
      <c r="Q13" s="6" t="n">
        <v>1750</v>
      </c>
      <c r="R13" s="6" t="n">
        <v>159</v>
      </c>
      <c r="S13" s="7" t="n">
        <f aca="false">IF(OR(Q13="",Q13=0,R13=""),"",R13/Q13)</f>
        <v>0.0908571428571429</v>
      </c>
      <c r="T13" s="7" t="n">
        <v>6</v>
      </c>
      <c r="U13" s="6" t="n">
        <f aca="false">IF(OR(T13="",R13=""),"",R13/T13)</f>
        <v>26.5</v>
      </c>
      <c r="V13" s="7" t="n">
        <f aca="false">IF(OR(Q13="",Q13=0,U13=""),"",U13/Q13)</f>
        <v>0.0151428571428571</v>
      </c>
      <c r="W13" s="8" t="s">
        <v>118</v>
      </c>
      <c r="X13" s="9" t="s">
        <v>57</v>
      </c>
      <c r="Y13" s="10"/>
      <c r="Z13" s="4"/>
      <c r="AA13" s="11" t="n">
        <f aca="false">IF(X13&lt;&gt;"Published",COUNTIF($X$2:X13,"&lt;&gt;Published"),"")</f>
        <v>12</v>
      </c>
    </row>
    <row r="14" customFormat="false" ht="26.85" hidden="false" customHeight="false" outlineLevel="0" collapsed="false">
      <c r="A14" s="4" t="n">
        <v>13</v>
      </c>
      <c r="B14" s="4" t="n">
        <f aca="false">ROUNDUP(A14/3,0)</f>
        <v>5</v>
      </c>
      <c r="C14" s="4" t="s">
        <v>119</v>
      </c>
      <c r="D14" s="4" t="s">
        <v>47</v>
      </c>
      <c r="E14" s="4" t="n">
        <v>7</v>
      </c>
      <c r="F14" s="5" t="s">
        <v>120</v>
      </c>
      <c r="G14" s="5" t="s">
        <v>121</v>
      </c>
      <c r="H14" s="4" t="s">
        <v>50</v>
      </c>
      <c r="I14" s="4" t="s">
        <v>69</v>
      </c>
      <c r="J14" s="4" t="s">
        <v>98</v>
      </c>
      <c r="K14" s="4" t="s">
        <v>53</v>
      </c>
      <c r="L14" s="4" t="n">
        <v>39</v>
      </c>
      <c r="M14" s="4" t="n">
        <v>8</v>
      </c>
      <c r="N14" s="4" t="n">
        <v>0</v>
      </c>
      <c r="O14" s="5" t="s">
        <v>122</v>
      </c>
      <c r="P14" s="4" t="s">
        <v>123</v>
      </c>
      <c r="Q14" s="6" t="n">
        <v>7140</v>
      </c>
      <c r="R14" s="6" t="n">
        <v>45000</v>
      </c>
      <c r="S14" s="7" t="n">
        <f aca="false">IF(OR(Q14="",Q14=0,R14=""),"",R14/Q14)</f>
        <v>6.30252100840336</v>
      </c>
      <c r="T14" s="7" t="n">
        <v>0.25</v>
      </c>
      <c r="U14" s="6" t="n">
        <f aca="false">IF(OR(T14="",R14=""),"",R14/T14)</f>
        <v>180000</v>
      </c>
      <c r="V14" s="7" t="n">
        <f aca="false">IF(OR(Q14="",Q14=0,U14=""),"",U14/Q14)</f>
        <v>25.2100840336134</v>
      </c>
      <c r="W14" s="8" t="s">
        <v>124</v>
      </c>
      <c r="X14" s="9" t="s">
        <v>57</v>
      </c>
      <c r="Y14" s="10"/>
      <c r="Z14" s="4"/>
      <c r="AA14" s="11" t="n">
        <f aca="false">IF(X14&lt;&gt;"Published",COUNTIF($X$2:X14,"&lt;&gt;Published"),"")</f>
        <v>13</v>
      </c>
    </row>
    <row r="15" customFormat="false" ht="26.85" hidden="false" customHeight="false" outlineLevel="0" collapsed="false">
      <c r="A15" s="4" t="n">
        <v>14</v>
      </c>
      <c r="B15" s="4" t="n">
        <f aca="false">ROUNDUP(A15/3,0)</f>
        <v>5</v>
      </c>
      <c r="C15" s="4" t="s">
        <v>125</v>
      </c>
      <c r="D15" s="4" t="s">
        <v>59</v>
      </c>
      <c r="E15" s="4" t="n">
        <v>7</v>
      </c>
      <c r="F15" s="5" t="s">
        <v>126</v>
      </c>
      <c r="G15" s="5" t="s">
        <v>127</v>
      </c>
      <c r="H15" s="4" t="s">
        <v>50</v>
      </c>
      <c r="I15" s="4" t="s">
        <v>51</v>
      </c>
      <c r="J15" s="4" t="s">
        <v>81</v>
      </c>
      <c r="K15" s="4" t="s">
        <v>63</v>
      </c>
      <c r="L15" s="4" t="n">
        <v>19</v>
      </c>
      <c r="M15" s="4" t="n">
        <v>1</v>
      </c>
      <c r="N15" s="4" t="n">
        <v>0</v>
      </c>
      <c r="O15" s="5" t="s">
        <v>128</v>
      </c>
      <c r="P15" s="4" t="s">
        <v>65</v>
      </c>
      <c r="Q15" s="6" t="n">
        <v>43100</v>
      </c>
      <c r="R15" s="6" t="n">
        <v>56000</v>
      </c>
      <c r="S15" s="7" t="n">
        <f aca="false">IF(OR(Q15="",Q15=0,R15=""),"",R15/Q15)</f>
        <v>1.29930394431555</v>
      </c>
      <c r="T15" s="7" t="n">
        <v>14</v>
      </c>
      <c r="U15" s="6" t="n">
        <f aca="false">IF(OR(T15="",R15=""),"",R15/T15)</f>
        <v>4000</v>
      </c>
      <c r="V15" s="7" t="n">
        <f aca="false">IF(OR(Q15="",Q15=0,U15=""),"",U15/Q15)</f>
        <v>0.0928074245939675</v>
      </c>
      <c r="W15" s="8" t="s">
        <v>129</v>
      </c>
      <c r="X15" s="9" t="s">
        <v>57</v>
      </c>
      <c r="Y15" s="10"/>
      <c r="Z15" s="4"/>
      <c r="AA15" s="11" t="n">
        <f aca="false">IF(X15&lt;&gt;"Published",COUNTIF($X$2:X15,"&lt;&gt;Published"),"")</f>
        <v>14</v>
      </c>
    </row>
    <row r="16" customFormat="false" ht="26.85" hidden="false" customHeight="false" outlineLevel="0" collapsed="false">
      <c r="A16" s="4" t="n">
        <v>15</v>
      </c>
      <c r="B16" s="4" t="n">
        <f aca="false">ROUNDUP(A16/3,0)</f>
        <v>5</v>
      </c>
      <c r="C16" s="4" t="s">
        <v>130</v>
      </c>
      <c r="D16" s="4" t="s">
        <v>47</v>
      </c>
      <c r="E16" s="4" t="n">
        <v>8</v>
      </c>
      <c r="F16" s="5" t="s">
        <v>120</v>
      </c>
      <c r="G16" s="5" t="s">
        <v>131</v>
      </c>
      <c r="H16" s="4" t="s">
        <v>50</v>
      </c>
      <c r="I16" s="4" t="s">
        <v>69</v>
      </c>
      <c r="J16" s="4" t="s">
        <v>119</v>
      </c>
      <c r="K16" s="4" t="s">
        <v>84</v>
      </c>
      <c r="L16" s="4" t="n">
        <v>6</v>
      </c>
      <c r="M16" s="4" t="n">
        <v>0</v>
      </c>
      <c r="N16" s="4" t="n">
        <v>0</v>
      </c>
      <c r="O16" s="5" t="s">
        <v>132</v>
      </c>
      <c r="P16" s="4" t="s">
        <v>133</v>
      </c>
      <c r="Q16" s="6" t="n">
        <v>1330</v>
      </c>
      <c r="R16" s="6" t="n">
        <v>707</v>
      </c>
      <c r="S16" s="7" t="n">
        <f aca="false">IF(OR(Q16="",Q16=0,R16=""),"",R16/Q16)</f>
        <v>0.531578947368421</v>
      </c>
      <c r="T16" s="7" t="n">
        <v>5</v>
      </c>
      <c r="U16" s="6" t="n">
        <f aca="false">IF(OR(T16="",R16=""),"",R16/T16)</f>
        <v>141.4</v>
      </c>
      <c r="V16" s="7" t="n">
        <f aca="false">IF(OR(Q16="",Q16=0,U16=""),"",U16/Q16)</f>
        <v>0.106315789473684</v>
      </c>
      <c r="W16" s="8" t="s">
        <v>134</v>
      </c>
      <c r="X16" s="9" t="s">
        <v>57</v>
      </c>
      <c r="Y16" s="10"/>
      <c r="Z16" s="4"/>
      <c r="AA16" s="11" t="n">
        <f aca="false">IF(X16&lt;&gt;"Published",COUNTIF($X$2:X16,"&lt;&gt;Published"),"")</f>
        <v>15</v>
      </c>
    </row>
    <row r="17" customFormat="false" ht="26.85" hidden="false" customHeight="false" outlineLevel="0" collapsed="false">
      <c r="A17" s="4" t="n">
        <v>16</v>
      </c>
      <c r="B17" s="4" t="n">
        <f aca="false">ROUNDUP(A17/3,0)</f>
        <v>6</v>
      </c>
      <c r="C17" s="4" t="s">
        <v>135</v>
      </c>
      <c r="D17" s="4" t="s">
        <v>59</v>
      </c>
      <c r="E17" s="4" t="n">
        <v>8</v>
      </c>
      <c r="F17" s="5" t="s">
        <v>136</v>
      </c>
      <c r="G17" s="5" t="s">
        <v>137</v>
      </c>
      <c r="H17" s="4" t="s">
        <v>50</v>
      </c>
      <c r="I17" s="4" t="s">
        <v>69</v>
      </c>
      <c r="J17" s="4" t="s">
        <v>93</v>
      </c>
      <c r="K17" s="4" t="s">
        <v>63</v>
      </c>
      <c r="L17" s="4" t="n">
        <v>10</v>
      </c>
      <c r="M17" s="4" t="n">
        <v>2</v>
      </c>
      <c r="N17" s="4" t="n">
        <v>0</v>
      </c>
      <c r="O17" s="5" t="s">
        <v>138</v>
      </c>
      <c r="P17" s="4" t="s">
        <v>65</v>
      </c>
      <c r="Q17" s="6" t="n">
        <v>43100</v>
      </c>
      <c r="R17" s="6" t="n">
        <v>115000</v>
      </c>
      <c r="S17" s="7" t="n">
        <f aca="false">IF(OR(Q17="",Q17=0,R17=""),"",R17/Q17)</f>
        <v>2.66821345707657</v>
      </c>
      <c r="T17" s="7" t="n">
        <v>14</v>
      </c>
      <c r="U17" s="6" t="n">
        <f aca="false">IF(OR(T17="",R17=""),"",R17/T17)</f>
        <v>8214.28571428571</v>
      </c>
      <c r="V17" s="7" t="n">
        <f aca="false">IF(OR(Q17="",Q17=0,U17=""),"",U17/Q17)</f>
        <v>0.190586675505469</v>
      </c>
      <c r="W17" s="8" t="s">
        <v>139</v>
      </c>
      <c r="X17" s="9" t="s">
        <v>57</v>
      </c>
      <c r="Y17" s="10"/>
      <c r="Z17" s="4"/>
      <c r="AA17" s="11" t="n">
        <f aca="false">IF(X17&lt;&gt;"Published",COUNTIF($X$2:X17,"&lt;&gt;Published"),"")</f>
        <v>16</v>
      </c>
    </row>
    <row r="18" customFormat="false" ht="26.85" hidden="false" customHeight="false" outlineLevel="0" collapsed="false">
      <c r="A18" s="4" t="n">
        <v>17</v>
      </c>
      <c r="B18" s="4" t="n">
        <f aca="false">ROUNDUP(A18/3,0)</f>
        <v>6</v>
      </c>
      <c r="C18" s="4" t="s">
        <v>140</v>
      </c>
      <c r="D18" s="4" t="s">
        <v>47</v>
      </c>
      <c r="E18" s="4" t="n">
        <v>9</v>
      </c>
      <c r="F18" s="5" t="s">
        <v>141</v>
      </c>
      <c r="G18" s="5" t="s">
        <v>142</v>
      </c>
      <c r="H18" s="4" t="s">
        <v>50</v>
      </c>
      <c r="I18" s="4" t="s">
        <v>51</v>
      </c>
      <c r="J18" s="4" t="s">
        <v>98</v>
      </c>
      <c r="K18" s="4" t="s">
        <v>63</v>
      </c>
      <c r="L18" s="4" t="n">
        <v>26</v>
      </c>
      <c r="M18" s="4" t="n">
        <v>4</v>
      </c>
      <c r="N18" s="4" t="n">
        <v>2</v>
      </c>
      <c r="O18" s="5" t="s">
        <v>143</v>
      </c>
      <c r="P18" s="4" t="s">
        <v>71</v>
      </c>
      <c r="Q18" s="6" t="n">
        <v>41900</v>
      </c>
      <c r="R18" s="6" t="n">
        <v>283000</v>
      </c>
      <c r="S18" s="7" t="n">
        <f aca="false">IF(OR(Q18="",Q18=0,R18=""),"",R18/Q18)</f>
        <v>6.75417661097852</v>
      </c>
      <c r="T18" s="7" t="n">
        <v>5</v>
      </c>
      <c r="U18" s="6" t="n">
        <f aca="false">IF(OR(T18="",R18=""),"",R18/T18)</f>
        <v>56600</v>
      </c>
      <c r="V18" s="7" t="n">
        <f aca="false">IF(OR(Q18="",Q18=0,U18=""),"",U18/Q18)</f>
        <v>1.3508353221957</v>
      </c>
      <c r="W18" s="8" t="s">
        <v>144</v>
      </c>
      <c r="X18" s="9" t="s">
        <v>57</v>
      </c>
      <c r="Y18" s="10"/>
      <c r="Z18" s="4"/>
      <c r="AA18" s="11" t="n">
        <f aca="false">IF(X18&lt;&gt;"Published",COUNTIF($X$2:X18,"&lt;&gt;Published"),"")</f>
        <v>17</v>
      </c>
    </row>
    <row r="19" customFormat="false" ht="39.55" hidden="false" customHeight="false" outlineLevel="0" collapsed="false">
      <c r="A19" s="4" t="n">
        <v>18</v>
      </c>
      <c r="B19" s="4" t="n">
        <f aca="false">ROUNDUP(A19/3,0)</f>
        <v>6</v>
      </c>
      <c r="C19" s="4" t="s">
        <v>145</v>
      </c>
      <c r="D19" s="4" t="s">
        <v>59</v>
      </c>
      <c r="E19" s="4" t="n">
        <v>9</v>
      </c>
      <c r="F19" s="5" t="s">
        <v>146</v>
      </c>
      <c r="G19" s="5" t="s">
        <v>147</v>
      </c>
      <c r="H19" s="4" t="s">
        <v>50</v>
      </c>
      <c r="I19" s="4" t="s">
        <v>69</v>
      </c>
      <c r="J19" s="4" t="s">
        <v>73</v>
      </c>
      <c r="K19" s="4" t="s">
        <v>63</v>
      </c>
      <c r="L19" s="4" t="n">
        <v>19</v>
      </c>
      <c r="M19" s="4" t="n">
        <v>1</v>
      </c>
      <c r="N19" s="4" t="n">
        <v>0</v>
      </c>
      <c r="O19" s="5" t="s">
        <v>148</v>
      </c>
      <c r="P19" s="4" t="s">
        <v>55</v>
      </c>
      <c r="Q19" s="6" t="n">
        <v>102000</v>
      </c>
      <c r="R19" s="6" t="n">
        <v>118000</v>
      </c>
      <c r="S19" s="7" t="n">
        <f aca="false">IF(OR(Q19="",Q19=0,R19=""),"",R19/Q19)</f>
        <v>1.15686274509804</v>
      </c>
      <c r="T19" s="7" t="n">
        <v>12</v>
      </c>
      <c r="U19" s="6" t="n">
        <f aca="false">IF(OR(T19="",R19=""),"",R19/T19)</f>
        <v>9833.33333333333</v>
      </c>
      <c r="V19" s="7" t="n">
        <f aca="false">IF(OR(Q19="",Q19=0,U19=""),"",U19/Q19)</f>
        <v>0.0964052287581699</v>
      </c>
      <c r="W19" s="8" t="s">
        <v>149</v>
      </c>
      <c r="X19" s="9" t="s">
        <v>57</v>
      </c>
      <c r="Y19" s="10"/>
      <c r="Z19" s="4"/>
      <c r="AA19" s="11" t="n">
        <f aca="false">IF(X19&lt;&gt;"Published",COUNTIF($X$2:X19,"&lt;&gt;Published"),"")</f>
        <v>18</v>
      </c>
    </row>
    <row r="20" customFormat="false" ht="26.85" hidden="false" customHeight="false" outlineLevel="0" collapsed="false">
      <c r="A20" s="4" t="n">
        <v>19</v>
      </c>
      <c r="B20" s="4" t="n">
        <f aca="false">ROUNDUP(A20/3,0)</f>
        <v>7</v>
      </c>
      <c r="C20" s="4" t="s">
        <v>150</v>
      </c>
      <c r="D20" s="4" t="s">
        <v>47</v>
      </c>
      <c r="E20" s="4" t="n">
        <v>10</v>
      </c>
      <c r="F20" s="5" t="s">
        <v>151</v>
      </c>
      <c r="G20" s="5" t="s">
        <v>152</v>
      </c>
      <c r="H20" s="4" t="s">
        <v>50</v>
      </c>
      <c r="I20" s="4" t="s">
        <v>51</v>
      </c>
      <c r="J20" s="4" t="s">
        <v>140</v>
      </c>
      <c r="K20" s="4" t="s">
        <v>63</v>
      </c>
      <c r="L20" s="4" t="n">
        <v>17</v>
      </c>
      <c r="M20" s="4" t="n">
        <v>2</v>
      </c>
      <c r="N20" s="4" t="n">
        <v>1</v>
      </c>
      <c r="O20" s="5" t="s">
        <v>153</v>
      </c>
      <c r="P20" s="4" t="s">
        <v>154</v>
      </c>
      <c r="Q20" s="6" t="n">
        <v>2210</v>
      </c>
      <c r="R20" s="6" t="n">
        <v>11000</v>
      </c>
      <c r="S20" s="7" t="n">
        <f aca="false">IF(OR(Q20="",Q20=0,R20=""),"",R20/Q20)</f>
        <v>4.97737556561086</v>
      </c>
      <c r="T20" s="7" t="n">
        <v>4</v>
      </c>
      <c r="U20" s="6" t="n">
        <f aca="false">IF(OR(T20="",R20=""),"",R20/T20)</f>
        <v>2750</v>
      </c>
      <c r="V20" s="7" t="n">
        <f aca="false">IF(OR(Q20="",Q20=0,U20=""),"",U20/Q20)</f>
        <v>1.24434389140272</v>
      </c>
      <c r="W20" s="8" t="s">
        <v>155</v>
      </c>
      <c r="X20" s="9" t="s">
        <v>57</v>
      </c>
      <c r="Y20" s="10"/>
      <c r="Z20" s="4"/>
      <c r="AA20" s="11" t="n">
        <f aca="false">IF(X20&lt;&gt;"Published",COUNTIF($X$2:X20,"&lt;&gt;Published"),"")</f>
        <v>19</v>
      </c>
    </row>
    <row r="21" customFormat="false" ht="26.85" hidden="false" customHeight="false" outlineLevel="0" collapsed="false">
      <c r="A21" s="4" t="n">
        <v>20</v>
      </c>
      <c r="B21" s="4" t="n">
        <f aca="false">ROUNDUP(A21/3,0)</f>
        <v>7</v>
      </c>
      <c r="C21" s="4" t="s">
        <v>156</v>
      </c>
      <c r="D21" s="4" t="s">
        <v>59</v>
      </c>
      <c r="E21" s="4" t="n">
        <v>10</v>
      </c>
      <c r="F21" s="5" t="s">
        <v>157</v>
      </c>
      <c r="G21" s="5" t="s">
        <v>158</v>
      </c>
      <c r="H21" s="4" t="s">
        <v>50</v>
      </c>
      <c r="I21" s="4" t="s">
        <v>159</v>
      </c>
      <c r="J21" s="4" t="s">
        <v>73</v>
      </c>
      <c r="K21" s="4" t="s">
        <v>63</v>
      </c>
      <c r="L21" s="4" t="n">
        <v>8</v>
      </c>
      <c r="M21" s="4" t="n">
        <v>1</v>
      </c>
      <c r="N21" s="4" t="n">
        <v>0</v>
      </c>
      <c r="O21" s="5" t="s">
        <v>160</v>
      </c>
      <c r="P21" s="4" t="s">
        <v>55</v>
      </c>
      <c r="Q21" s="6" t="n">
        <v>102000</v>
      </c>
      <c r="R21" s="6" t="n">
        <v>117000</v>
      </c>
      <c r="S21" s="7" t="n">
        <f aca="false">IF(OR(Q21="",Q21=0,R21=""),"",R21/Q21)</f>
        <v>1.14705882352941</v>
      </c>
      <c r="T21" s="7" t="n">
        <v>5</v>
      </c>
      <c r="U21" s="6" t="n">
        <f aca="false">IF(OR(T21="",R21=""),"",R21/T21)</f>
        <v>23400</v>
      </c>
      <c r="V21" s="7" t="n">
        <f aca="false">IF(OR(Q21="",Q21=0,U21=""),"",U21/Q21)</f>
        <v>0.229411764705882</v>
      </c>
      <c r="W21" s="8" t="s">
        <v>161</v>
      </c>
      <c r="X21" s="9" t="s">
        <v>57</v>
      </c>
      <c r="Y21" s="10"/>
      <c r="Z21" s="4"/>
      <c r="AA21" s="11" t="n">
        <f aca="false">IF(X21&lt;&gt;"Published",COUNTIF($X$2:X21,"&lt;&gt;Published"),"")</f>
        <v>20</v>
      </c>
    </row>
    <row r="22" customFormat="false" ht="26.85" hidden="false" customHeight="false" outlineLevel="0" collapsed="false">
      <c r="A22" s="4" t="n">
        <v>21</v>
      </c>
      <c r="B22" s="4" t="n">
        <f aca="false">ROUNDUP(A22/3,0)</f>
        <v>7</v>
      </c>
      <c r="C22" s="4" t="s">
        <v>162</v>
      </c>
      <c r="D22" s="4" t="s">
        <v>47</v>
      </c>
      <c r="E22" s="4" t="n">
        <v>11</v>
      </c>
      <c r="F22" s="5" t="s">
        <v>163</v>
      </c>
      <c r="G22" s="5" t="s">
        <v>164</v>
      </c>
      <c r="H22" s="4" t="s">
        <v>50</v>
      </c>
      <c r="I22" s="4" t="s">
        <v>69</v>
      </c>
      <c r="J22" s="4" t="s">
        <v>150</v>
      </c>
      <c r="K22" s="4" t="s">
        <v>63</v>
      </c>
      <c r="L22" s="4" t="n">
        <v>31</v>
      </c>
      <c r="M22" s="4" t="n">
        <v>2</v>
      </c>
      <c r="N22" s="4" t="n">
        <v>0</v>
      </c>
      <c r="O22" s="5" t="s">
        <v>165</v>
      </c>
      <c r="P22" s="4" t="s">
        <v>102</v>
      </c>
      <c r="Q22" s="6" t="n">
        <v>98800</v>
      </c>
      <c r="R22" s="6" t="n">
        <v>125000</v>
      </c>
      <c r="S22" s="7" t="n">
        <f aca="false">IF(OR(Q22="",Q22=0,R22=""),"",R22/Q22)</f>
        <v>1.26518218623482</v>
      </c>
      <c r="T22" s="7" t="n">
        <v>12</v>
      </c>
      <c r="U22" s="6" t="n">
        <f aca="false">IF(OR(T22="",R22=""),"",R22/T22)</f>
        <v>10416.6666666667</v>
      </c>
      <c r="V22" s="7" t="n">
        <f aca="false">IF(OR(Q22="",Q22=0,U22=""),"",U22/Q22)</f>
        <v>0.105431848852901</v>
      </c>
      <c r="W22" s="8" t="s">
        <v>166</v>
      </c>
      <c r="X22" s="9" t="s">
        <v>57</v>
      </c>
      <c r="Y22" s="10"/>
      <c r="Z22" s="4"/>
      <c r="AA22" s="11" t="n">
        <f aca="false">IF(X22&lt;&gt;"Published",COUNTIF($X$2:X22,"&lt;&gt;Published"),"")</f>
        <v>21</v>
      </c>
    </row>
    <row r="23" customFormat="false" ht="26.85" hidden="false" customHeight="false" outlineLevel="0" collapsed="false">
      <c r="A23" s="4" t="n">
        <v>22</v>
      </c>
      <c r="B23" s="4" t="n">
        <f aca="false">ROUNDUP(A23/3,0)</f>
        <v>8</v>
      </c>
      <c r="C23" s="4" t="s">
        <v>167</v>
      </c>
      <c r="D23" s="4" t="s">
        <v>59</v>
      </c>
      <c r="E23" s="4" t="n">
        <v>11</v>
      </c>
      <c r="F23" s="5" t="s">
        <v>168</v>
      </c>
      <c r="G23" s="5" t="s">
        <v>169</v>
      </c>
      <c r="H23" s="4" t="s">
        <v>50</v>
      </c>
      <c r="I23" s="4" t="s">
        <v>69</v>
      </c>
      <c r="J23" s="4" t="s">
        <v>170</v>
      </c>
      <c r="K23" s="4" t="s">
        <v>63</v>
      </c>
      <c r="L23" s="4" t="n">
        <v>11</v>
      </c>
      <c r="M23" s="4" t="n">
        <v>2</v>
      </c>
      <c r="N23" s="4" t="n">
        <v>0</v>
      </c>
      <c r="O23" s="5" t="s">
        <v>171</v>
      </c>
      <c r="P23" s="4" t="s">
        <v>65</v>
      </c>
      <c r="Q23" s="6" t="n">
        <v>43100</v>
      </c>
      <c r="R23" s="6" t="n">
        <v>91000</v>
      </c>
      <c r="S23" s="7" t="n">
        <f aca="false">IF(OR(Q23="",Q23=0,R23=""),"",R23/Q23)</f>
        <v>2.11136890951276</v>
      </c>
      <c r="T23" s="7" t="n">
        <v>13</v>
      </c>
      <c r="U23" s="6" t="n">
        <f aca="false">IF(OR(T23="",R23=""),"",R23/T23)</f>
        <v>7000</v>
      </c>
      <c r="V23" s="7" t="n">
        <f aca="false">IF(OR(Q23="",Q23=0,U23=""),"",U23/Q23)</f>
        <v>0.162412993039443</v>
      </c>
      <c r="W23" s="8" t="s">
        <v>172</v>
      </c>
      <c r="X23" s="9" t="s">
        <v>57</v>
      </c>
      <c r="Y23" s="10"/>
      <c r="Z23" s="4"/>
      <c r="AA23" s="11" t="n">
        <f aca="false">IF(X23&lt;&gt;"Published",COUNTIF($X$2:X23,"&lt;&gt;Published"),"")</f>
        <v>22</v>
      </c>
    </row>
    <row r="24" customFormat="false" ht="26.85" hidden="false" customHeight="false" outlineLevel="0" collapsed="false">
      <c r="A24" s="4" t="n">
        <v>23</v>
      </c>
      <c r="B24" s="4" t="n">
        <f aca="false">ROUNDUP(A24/3,0)</f>
        <v>8</v>
      </c>
      <c r="C24" s="4" t="s">
        <v>173</v>
      </c>
      <c r="D24" s="4" t="s">
        <v>47</v>
      </c>
      <c r="E24" s="4" t="n">
        <v>12</v>
      </c>
      <c r="F24" s="5" t="s">
        <v>174</v>
      </c>
      <c r="G24" s="5" t="s">
        <v>175</v>
      </c>
      <c r="H24" s="4" t="s">
        <v>50</v>
      </c>
      <c r="I24" s="4" t="s">
        <v>69</v>
      </c>
      <c r="J24" s="4" t="s">
        <v>162</v>
      </c>
      <c r="K24" s="4" t="s">
        <v>63</v>
      </c>
      <c r="L24" s="4" t="n">
        <v>43</v>
      </c>
      <c r="M24" s="4" t="n">
        <v>1</v>
      </c>
      <c r="N24" s="4" t="n">
        <v>0</v>
      </c>
      <c r="O24" s="5" t="s">
        <v>176</v>
      </c>
      <c r="P24" s="4" t="s">
        <v>71</v>
      </c>
      <c r="Q24" s="6" t="n">
        <v>41900</v>
      </c>
      <c r="R24" s="6" t="n">
        <v>47000</v>
      </c>
      <c r="S24" s="7" t="n">
        <f aca="false">IF(OR(Q24="",Q24=0,R24=""),"",R24/Q24)</f>
        <v>1.12171837708831</v>
      </c>
      <c r="T24" s="7" t="n">
        <v>5</v>
      </c>
      <c r="U24" s="6" t="n">
        <f aca="false">IF(OR(T24="",R24=""),"",R24/T24)</f>
        <v>9400</v>
      </c>
      <c r="V24" s="7" t="n">
        <f aca="false">IF(OR(Q24="",Q24=0,U24=""),"",U24/Q24)</f>
        <v>0.224343675417661</v>
      </c>
      <c r="W24" s="8" t="s">
        <v>177</v>
      </c>
      <c r="X24" s="9" t="s">
        <v>57</v>
      </c>
      <c r="Y24" s="10"/>
      <c r="Z24" s="4"/>
      <c r="AA24" s="11" t="n">
        <f aca="false">IF(X24&lt;&gt;"Published",COUNTIF($X$2:X24,"&lt;&gt;Published"),"")</f>
        <v>23</v>
      </c>
    </row>
    <row r="25" customFormat="false" ht="26.85" hidden="false" customHeight="false" outlineLevel="0" collapsed="false">
      <c r="A25" s="4" t="n">
        <v>24</v>
      </c>
      <c r="B25" s="4" t="n">
        <f aca="false">ROUNDUP(A25/3,0)</f>
        <v>8</v>
      </c>
      <c r="C25" s="4" t="s">
        <v>178</v>
      </c>
      <c r="D25" s="4" t="s">
        <v>59</v>
      </c>
      <c r="E25" s="4" t="n">
        <v>12</v>
      </c>
      <c r="F25" s="5" t="s">
        <v>179</v>
      </c>
      <c r="G25" s="5" t="s">
        <v>180</v>
      </c>
      <c r="H25" s="4" t="s">
        <v>50</v>
      </c>
      <c r="I25" s="4" t="s">
        <v>159</v>
      </c>
      <c r="J25" s="4" t="s">
        <v>167</v>
      </c>
      <c r="K25" s="4" t="s">
        <v>84</v>
      </c>
      <c r="L25" s="4" t="n">
        <v>12</v>
      </c>
      <c r="M25" s="4" t="n">
        <v>0</v>
      </c>
      <c r="N25" s="4" t="n">
        <v>0</v>
      </c>
      <c r="O25" s="5" t="s">
        <v>181</v>
      </c>
      <c r="P25" s="4" t="s">
        <v>182</v>
      </c>
      <c r="Q25" s="6" t="n">
        <v>105000</v>
      </c>
      <c r="R25" s="6" t="n">
        <v>88000</v>
      </c>
      <c r="S25" s="7" t="n">
        <f aca="false">IF(OR(Q25="",Q25=0,R25=""),"",R25/Q25)</f>
        <v>0.838095238095238</v>
      </c>
      <c r="T25" s="7" t="n">
        <v>10</v>
      </c>
      <c r="U25" s="6" t="n">
        <f aca="false">IF(OR(T25="",R25=""),"",R25/T25)</f>
        <v>8800</v>
      </c>
      <c r="V25" s="7" t="n">
        <f aca="false">IF(OR(Q25="",Q25=0,U25=""),"",U25/Q25)</f>
        <v>0.0838095238095238</v>
      </c>
      <c r="W25" s="8" t="s">
        <v>183</v>
      </c>
      <c r="X25" s="9" t="s">
        <v>57</v>
      </c>
      <c r="Y25" s="10"/>
      <c r="Z25" s="4"/>
      <c r="AA25" s="11" t="n">
        <f aca="false">IF(X25&lt;&gt;"Published",COUNTIF($X$2:X25,"&lt;&gt;Published"),"")</f>
        <v>24</v>
      </c>
    </row>
    <row r="26" customFormat="false" ht="15" hidden="false" customHeight="false" outlineLevel="0" collapsed="false">
      <c r="A26" s="4" t="n">
        <v>25</v>
      </c>
      <c r="B26" s="4" t="n">
        <f aca="false">ROUNDUP(A26/3,0)</f>
        <v>9</v>
      </c>
      <c r="C26" s="4" t="s">
        <v>184</v>
      </c>
      <c r="D26" s="4" t="s">
        <v>47</v>
      </c>
      <c r="E26" s="4" t="n">
        <v>36</v>
      </c>
      <c r="F26" s="5" t="s">
        <v>185</v>
      </c>
      <c r="G26" s="5" t="s">
        <v>186</v>
      </c>
      <c r="H26" s="4" t="s">
        <v>187</v>
      </c>
      <c r="I26" s="4" t="s">
        <v>188</v>
      </c>
      <c r="J26" s="4" t="s">
        <v>189</v>
      </c>
      <c r="K26" s="4" t="s">
        <v>53</v>
      </c>
      <c r="L26" s="4" t="n">
        <v>2</v>
      </c>
      <c r="M26" s="4" t="n">
        <v>1</v>
      </c>
      <c r="N26" s="4" t="n">
        <v>1</v>
      </c>
      <c r="O26" s="5" t="s">
        <v>190</v>
      </c>
      <c r="P26" s="4" t="s">
        <v>191</v>
      </c>
      <c r="Q26" s="6" t="n">
        <v>11700</v>
      </c>
      <c r="R26" s="6" t="n">
        <v>418000</v>
      </c>
      <c r="S26" s="7" t="n">
        <f aca="false">IF(OR(Q26="",Q26=0,R26=""),"",R26/Q26)</f>
        <v>35.7264957264957</v>
      </c>
      <c r="T26" s="7" t="n">
        <v>1</v>
      </c>
      <c r="U26" s="6" t="n">
        <f aca="false">IF(OR(T26="",R26=""),"",R26/T26)</f>
        <v>418000</v>
      </c>
      <c r="V26" s="7" t="n">
        <f aca="false">IF(OR(Q26="",Q26=0,U26=""),"",U26/Q26)</f>
        <v>35.7264957264957</v>
      </c>
      <c r="W26" s="8" t="s">
        <v>192</v>
      </c>
      <c r="X26" s="9" t="s">
        <v>57</v>
      </c>
      <c r="Y26" s="10"/>
      <c r="Z26" s="4"/>
      <c r="AA26" s="11" t="n">
        <f aca="false">IF(X26&lt;&gt;"Published",COUNTIF($X$2:X26,"&lt;&gt;Published"),"")</f>
        <v>25</v>
      </c>
    </row>
    <row r="27" customFormat="false" ht="39.55" hidden="false" customHeight="false" outlineLevel="0" collapsed="false">
      <c r="A27" s="4" t="n">
        <v>26</v>
      </c>
      <c r="B27" s="4" t="n">
        <f aca="false">ROUNDUP(A27/3,0)</f>
        <v>9</v>
      </c>
      <c r="C27" s="4" t="s">
        <v>193</v>
      </c>
      <c r="D27" s="4" t="s">
        <v>47</v>
      </c>
      <c r="E27" s="4" t="n">
        <v>13</v>
      </c>
      <c r="F27" s="5" t="s">
        <v>194</v>
      </c>
      <c r="G27" s="5" t="s">
        <v>195</v>
      </c>
      <c r="H27" s="4" t="s">
        <v>50</v>
      </c>
      <c r="I27" s="4" t="s">
        <v>69</v>
      </c>
      <c r="J27" s="4" t="s">
        <v>119</v>
      </c>
      <c r="K27" s="4" t="s">
        <v>63</v>
      </c>
      <c r="L27" s="4" t="n">
        <v>13</v>
      </c>
      <c r="M27" s="4" t="n">
        <v>1</v>
      </c>
      <c r="N27" s="4" t="n">
        <v>0</v>
      </c>
      <c r="O27" s="5" t="s">
        <v>196</v>
      </c>
      <c r="P27" s="4" t="s">
        <v>55</v>
      </c>
      <c r="Q27" s="6" t="n">
        <v>102000</v>
      </c>
      <c r="R27" s="6" t="n">
        <v>114000</v>
      </c>
      <c r="S27" s="7" t="n">
        <f aca="false">IF(OR(Q27="",Q27=0,R27=""),"",R27/Q27)</f>
        <v>1.11764705882353</v>
      </c>
      <c r="T27" s="7" t="n">
        <v>8</v>
      </c>
      <c r="U27" s="6" t="n">
        <f aca="false">IF(OR(T27="",R27=""),"",R27/T27)</f>
        <v>14250</v>
      </c>
      <c r="V27" s="7" t="n">
        <f aca="false">IF(OR(Q27="",Q27=0,U27=""),"",U27/Q27)</f>
        <v>0.139705882352941</v>
      </c>
      <c r="W27" s="8" t="s">
        <v>197</v>
      </c>
      <c r="X27" s="9" t="s">
        <v>57</v>
      </c>
      <c r="Y27" s="10"/>
      <c r="Z27" s="4"/>
      <c r="AA27" s="11" t="n">
        <f aca="false">IF(X27&lt;&gt;"Published",COUNTIF($X$2:X27,"&lt;&gt;Published"),"")</f>
        <v>26</v>
      </c>
    </row>
    <row r="28" customFormat="false" ht="26.85" hidden="false" customHeight="false" outlineLevel="0" collapsed="false">
      <c r="A28" s="4" t="n">
        <v>27</v>
      </c>
      <c r="B28" s="4" t="n">
        <f aca="false">ROUNDUP(A28/3,0)</f>
        <v>9</v>
      </c>
      <c r="C28" s="4" t="s">
        <v>198</v>
      </c>
      <c r="D28" s="4" t="s">
        <v>59</v>
      </c>
      <c r="E28" s="4" t="n">
        <v>13</v>
      </c>
      <c r="F28" s="5" t="s">
        <v>199</v>
      </c>
      <c r="G28" s="5" t="s">
        <v>200</v>
      </c>
      <c r="H28" s="4" t="s">
        <v>50</v>
      </c>
      <c r="I28" s="4" t="s">
        <v>159</v>
      </c>
      <c r="J28" s="4" t="s">
        <v>178</v>
      </c>
      <c r="K28" s="4" t="s">
        <v>63</v>
      </c>
      <c r="L28" s="4" t="n">
        <v>15</v>
      </c>
      <c r="M28" s="4" t="n">
        <v>1</v>
      </c>
      <c r="N28" s="4" t="n">
        <v>0</v>
      </c>
      <c r="O28" s="5" t="s">
        <v>201</v>
      </c>
      <c r="P28" s="4" t="s">
        <v>55</v>
      </c>
      <c r="Q28" s="6" t="n">
        <v>102000</v>
      </c>
      <c r="R28" s="6" t="n">
        <v>133000</v>
      </c>
      <c r="S28" s="7" t="n">
        <f aca="false">IF(OR(Q28="",Q28=0,R28=""),"",R28/Q28)</f>
        <v>1.30392156862745</v>
      </c>
      <c r="T28" s="7" t="n">
        <v>7</v>
      </c>
      <c r="U28" s="6" t="n">
        <f aca="false">IF(OR(T28="",R28=""),"",R28/T28)</f>
        <v>19000</v>
      </c>
      <c r="V28" s="7" t="n">
        <f aca="false">IF(OR(Q28="",Q28=0,U28=""),"",U28/Q28)</f>
        <v>0.186274509803922</v>
      </c>
      <c r="W28" s="8" t="s">
        <v>202</v>
      </c>
      <c r="X28" s="9" t="s">
        <v>57</v>
      </c>
      <c r="Y28" s="10"/>
      <c r="Z28" s="4"/>
      <c r="AA28" s="11" t="n">
        <f aca="false">IF(X28&lt;&gt;"Published",COUNTIF($X$2:X28,"&lt;&gt;Published"),"")</f>
        <v>27</v>
      </c>
    </row>
    <row r="29" customFormat="false" ht="26.85" hidden="false" customHeight="false" outlineLevel="0" collapsed="false">
      <c r="A29" s="4" t="n">
        <v>28</v>
      </c>
      <c r="B29" s="4" t="n">
        <f aca="false">ROUNDUP(A29/3,0)</f>
        <v>10</v>
      </c>
      <c r="C29" s="4" t="s">
        <v>203</v>
      </c>
      <c r="D29" s="4" t="s">
        <v>47</v>
      </c>
      <c r="E29" s="4" t="n">
        <v>14</v>
      </c>
      <c r="F29" s="5" t="s">
        <v>204</v>
      </c>
      <c r="G29" s="5" t="s">
        <v>205</v>
      </c>
      <c r="H29" s="4" t="s">
        <v>50</v>
      </c>
      <c r="I29" s="4" t="s">
        <v>159</v>
      </c>
      <c r="J29" s="4" t="s">
        <v>119</v>
      </c>
      <c r="K29" s="4" t="s">
        <v>53</v>
      </c>
      <c r="L29" s="4" t="n">
        <v>38</v>
      </c>
      <c r="M29" s="4" t="n">
        <v>4</v>
      </c>
      <c r="N29" s="4" t="n">
        <v>2</v>
      </c>
      <c r="O29" s="5" t="s">
        <v>206</v>
      </c>
      <c r="P29" s="4" t="s">
        <v>207</v>
      </c>
      <c r="Q29" s="6" t="n">
        <v>26500</v>
      </c>
      <c r="R29" s="6" t="n">
        <v>251000</v>
      </c>
      <c r="S29" s="7" t="n">
        <f aca="false">IF(OR(Q29="",Q29=0,R29=""),"",R29/Q29)</f>
        <v>9.47169811320755</v>
      </c>
      <c r="T29" s="7" t="n">
        <v>2</v>
      </c>
      <c r="U29" s="6" t="n">
        <f aca="false">IF(OR(T29="",R29=""),"",R29/T29)</f>
        <v>125500</v>
      </c>
      <c r="V29" s="7" t="n">
        <f aca="false">IF(OR(Q29="",Q29=0,U29=""),"",U29/Q29)</f>
        <v>4.73584905660377</v>
      </c>
      <c r="W29" s="8" t="s">
        <v>208</v>
      </c>
      <c r="X29" s="9" t="s">
        <v>57</v>
      </c>
      <c r="Y29" s="10"/>
      <c r="Z29" s="4"/>
      <c r="AA29" s="11" t="n">
        <f aca="false">IF(X29&lt;&gt;"Published",COUNTIF($X$2:X29,"&lt;&gt;Published"),"")</f>
        <v>28</v>
      </c>
    </row>
    <row r="30" customFormat="false" ht="39.55" hidden="false" customHeight="false" outlineLevel="0" collapsed="false">
      <c r="A30" s="4" t="n">
        <v>29</v>
      </c>
      <c r="B30" s="4" t="n">
        <f aca="false">ROUNDUP(A30/3,0)</f>
        <v>10</v>
      </c>
      <c r="C30" s="4" t="s">
        <v>209</v>
      </c>
      <c r="D30" s="4" t="s">
        <v>59</v>
      </c>
      <c r="E30" s="4" t="n">
        <v>14</v>
      </c>
      <c r="F30" s="5" t="s">
        <v>210</v>
      </c>
      <c r="G30" s="5" t="s">
        <v>211</v>
      </c>
      <c r="H30" s="4" t="s">
        <v>50</v>
      </c>
      <c r="I30" s="4" t="s">
        <v>69</v>
      </c>
      <c r="J30" s="4" t="s">
        <v>178</v>
      </c>
      <c r="K30" s="4" t="s">
        <v>53</v>
      </c>
      <c r="L30" s="4" t="n">
        <v>10</v>
      </c>
      <c r="M30" s="4" t="n">
        <v>2</v>
      </c>
      <c r="N30" s="4" t="n">
        <v>1</v>
      </c>
      <c r="O30" s="5" t="s">
        <v>212</v>
      </c>
      <c r="P30" s="4" t="s">
        <v>154</v>
      </c>
      <c r="Q30" s="6" t="n">
        <v>2210</v>
      </c>
      <c r="R30" s="6" t="n">
        <v>43000</v>
      </c>
      <c r="S30" s="7" t="n">
        <f aca="false">IF(OR(Q30="",Q30=0,R30=""),"",R30/Q30)</f>
        <v>19.4570135746606</v>
      </c>
      <c r="T30" s="7" t="n">
        <v>5</v>
      </c>
      <c r="U30" s="6" t="n">
        <f aca="false">IF(OR(T30="",R30=""),"",R30/T30)</f>
        <v>8600</v>
      </c>
      <c r="V30" s="7" t="n">
        <f aca="false">IF(OR(Q30="",Q30=0,U30=""),"",U30/Q30)</f>
        <v>3.89140271493213</v>
      </c>
      <c r="W30" s="8" t="s">
        <v>213</v>
      </c>
      <c r="X30" s="9" t="s">
        <v>57</v>
      </c>
      <c r="Y30" s="10"/>
      <c r="Z30" s="4"/>
      <c r="AA30" s="11" t="n">
        <f aca="false">IF(X30&lt;&gt;"Published",COUNTIF($X$2:X30,"&lt;&gt;Published"),"")</f>
        <v>29</v>
      </c>
    </row>
    <row r="31" customFormat="false" ht="26.85" hidden="false" customHeight="false" outlineLevel="0" collapsed="false">
      <c r="A31" s="4" t="n">
        <v>30</v>
      </c>
      <c r="B31" s="4" t="n">
        <f aca="false">ROUNDUP(A31/3,0)</f>
        <v>10</v>
      </c>
      <c r="C31" s="4" t="s">
        <v>214</v>
      </c>
      <c r="D31" s="4" t="s">
        <v>47</v>
      </c>
      <c r="E31" s="4" t="n">
        <v>15</v>
      </c>
      <c r="F31" s="5" t="s">
        <v>215</v>
      </c>
      <c r="G31" s="5" t="s">
        <v>216</v>
      </c>
      <c r="H31" s="4" t="s">
        <v>50</v>
      </c>
      <c r="I31" s="4" t="s">
        <v>69</v>
      </c>
      <c r="J31" s="4" t="s">
        <v>203</v>
      </c>
      <c r="K31" s="4" t="s">
        <v>84</v>
      </c>
      <c r="L31" s="4" t="n">
        <v>1</v>
      </c>
      <c r="M31" s="4" t="n">
        <v>0</v>
      </c>
      <c r="N31" s="4" t="n">
        <v>0</v>
      </c>
      <c r="O31" s="5" t="s">
        <v>217</v>
      </c>
      <c r="P31" s="4" t="s">
        <v>218</v>
      </c>
      <c r="Q31" s="6" t="n">
        <v>483000</v>
      </c>
      <c r="R31" s="6" t="n">
        <v>36000</v>
      </c>
      <c r="S31" s="7" t="n">
        <f aca="false">IF(OR(Q31="",Q31=0,R31=""),"",R31/Q31)</f>
        <v>0.0745341614906832</v>
      </c>
      <c r="T31" s="7" t="n">
        <v>1</v>
      </c>
      <c r="U31" s="6" t="n">
        <f aca="false">IF(OR(T31="",R31=""),"",R31/T31)</f>
        <v>36000</v>
      </c>
      <c r="V31" s="7" t="n">
        <f aca="false">IF(OR(Q31="",Q31=0,U31=""),"",U31/Q31)</f>
        <v>0.0745341614906832</v>
      </c>
      <c r="W31" s="8" t="s">
        <v>219</v>
      </c>
      <c r="X31" s="9" t="s">
        <v>57</v>
      </c>
      <c r="Y31" s="10"/>
      <c r="Z31" s="4"/>
      <c r="AA31" s="11" t="n">
        <f aca="false">IF(X31&lt;&gt;"Published",COUNTIF($X$2:X31,"&lt;&gt;Published"),"")</f>
        <v>30</v>
      </c>
    </row>
    <row r="32" customFormat="false" ht="26.85" hidden="false" customHeight="false" outlineLevel="0" collapsed="false">
      <c r="A32" s="4" t="n">
        <v>31</v>
      </c>
      <c r="B32" s="4" t="n">
        <f aca="false">ROUNDUP(A32/3,0)</f>
        <v>11</v>
      </c>
      <c r="C32" s="4" t="s">
        <v>220</v>
      </c>
      <c r="D32" s="4" t="s">
        <v>59</v>
      </c>
      <c r="E32" s="4" t="n">
        <v>15</v>
      </c>
      <c r="F32" s="5" t="s">
        <v>221</v>
      </c>
      <c r="G32" s="5" t="s">
        <v>222</v>
      </c>
      <c r="H32" s="4" t="s">
        <v>50</v>
      </c>
      <c r="I32" s="4" t="s">
        <v>69</v>
      </c>
      <c r="J32" s="4" t="s">
        <v>198</v>
      </c>
      <c r="K32" s="4" t="s">
        <v>84</v>
      </c>
      <c r="L32" s="4" t="n">
        <v>0</v>
      </c>
      <c r="M32" s="4" t="n">
        <v>0</v>
      </c>
      <c r="N32" s="4" t="n">
        <v>0</v>
      </c>
      <c r="O32" s="5"/>
      <c r="P32" s="4"/>
      <c r="Q32" s="6"/>
      <c r="R32" s="6"/>
      <c r="S32" s="7" t="str">
        <f aca="false">IF(OR(Q32="",Q32=0,R32=""),"",R32/Q32)</f>
        <v/>
      </c>
      <c r="T32" s="7"/>
      <c r="U32" s="6" t="str">
        <f aca="false">IF(OR(T32="",R32=""),"",R32/T32)</f>
        <v/>
      </c>
      <c r="V32" s="7" t="str">
        <f aca="false">IF(OR(Q32="",Q32=0,U32=""),"",U32/Q32)</f>
        <v/>
      </c>
      <c r="W32" s="4"/>
      <c r="X32" s="9" t="s">
        <v>57</v>
      </c>
      <c r="Y32" s="10"/>
      <c r="Z32" s="4"/>
      <c r="AA32" s="11" t="n">
        <f aca="false">IF(X32&lt;&gt;"Published",COUNTIF($X$2:X32,"&lt;&gt;Published"),"")</f>
        <v>31</v>
      </c>
    </row>
    <row r="33" customFormat="false" ht="26.85" hidden="false" customHeight="false" outlineLevel="0" collapsed="false">
      <c r="A33" s="4" t="n">
        <v>32</v>
      </c>
      <c r="B33" s="4" t="n">
        <f aca="false">ROUNDUP(A33/3,0)</f>
        <v>11</v>
      </c>
      <c r="C33" s="4" t="s">
        <v>223</v>
      </c>
      <c r="D33" s="4" t="s">
        <v>47</v>
      </c>
      <c r="E33" s="4" t="n">
        <v>16</v>
      </c>
      <c r="F33" s="5" t="s">
        <v>224</v>
      </c>
      <c r="G33" s="5" t="s">
        <v>225</v>
      </c>
      <c r="H33" s="4" t="s">
        <v>50</v>
      </c>
      <c r="I33" s="4" t="s">
        <v>159</v>
      </c>
      <c r="J33" s="4" t="s">
        <v>162</v>
      </c>
      <c r="K33" s="4" t="s">
        <v>84</v>
      </c>
      <c r="L33" s="4" t="n">
        <v>6</v>
      </c>
      <c r="M33" s="4" t="n">
        <v>0</v>
      </c>
      <c r="N33" s="4" t="n">
        <v>0</v>
      </c>
      <c r="O33" s="5" t="s">
        <v>226</v>
      </c>
      <c r="P33" s="4" t="s">
        <v>71</v>
      </c>
      <c r="Q33" s="6" t="n">
        <v>41900</v>
      </c>
      <c r="R33" s="6" t="n">
        <v>34000</v>
      </c>
      <c r="S33" s="7" t="n">
        <f aca="false">IF(OR(Q33="",Q33=0,R33=""),"",R33/Q33)</f>
        <v>0.81145584725537</v>
      </c>
      <c r="T33" s="7" t="n">
        <v>5</v>
      </c>
      <c r="U33" s="6" t="n">
        <f aca="false">IF(OR(T33="",R33=""),"",R33/T33)</f>
        <v>6800</v>
      </c>
      <c r="V33" s="7" t="n">
        <f aca="false">IF(OR(Q33="",Q33=0,U33=""),"",U33/Q33)</f>
        <v>0.162291169451074</v>
      </c>
      <c r="W33" s="8" t="s">
        <v>227</v>
      </c>
      <c r="X33" s="9" t="s">
        <v>57</v>
      </c>
      <c r="Y33" s="10"/>
      <c r="Z33" s="4"/>
      <c r="AA33" s="11" t="n">
        <f aca="false">IF(X33&lt;&gt;"Published",COUNTIF($X$2:X33,"&lt;&gt;Published"),"")</f>
        <v>32</v>
      </c>
    </row>
    <row r="34" customFormat="false" ht="26.85" hidden="false" customHeight="false" outlineLevel="0" collapsed="false">
      <c r="A34" s="4" t="n">
        <v>33</v>
      </c>
      <c r="B34" s="4" t="n">
        <f aca="false">ROUNDUP(A34/3,0)</f>
        <v>11</v>
      </c>
      <c r="C34" s="4" t="s">
        <v>228</v>
      </c>
      <c r="D34" s="4" t="s">
        <v>59</v>
      </c>
      <c r="E34" s="4" t="n">
        <v>16</v>
      </c>
      <c r="F34" s="5" t="s">
        <v>229</v>
      </c>
      <c r="G34" s="5" t="s">
        <v>230</v>
      </c>
      <c r="H34" s="4" t="s">
        <v>50</v>
      </c>
      <c r="I34" s="4" t="s">
        <v>69</v>
      </c>
      <c r="J34" s="4" t="s">
        <v>209</v>
      </c>
      <c r="K34" s="4" t="s">
        <v>84</v>
      </c>
      <c r="L34" s="4" t="n">
        <v>8</v>
      </c>
      <c r="M34" s="4" t="n">
        <v>0</v>
      </c>
      <c r="N34" s="4" t="n">
        <v>0</v>
      </c>
      <c r="O34" s="5" t="s">
        <v>231</v>
      </c>
      <c r="P34" s="4" t="s">
        <v>232</v>
      </c>
      <c r="Q34" s="6" t="n">
        <v>52900</v>
      </c>
      <c r="R34" s="6" t="n">
        <v>5700</v>
      </c>
      <c r="S34" s="7" t="n">
        <f aca="false">IF(OR(Q34="",Q34=0,R34=""),"",R34/Q34)</f>
        <v>0.107750472589792</v>
      </c>
      <c r="T34" s="7" t="n">
        <v>6</v>
      </c>
      <c r="U34" s="6" t="n">
        <f aca="false">IF(OR(T34="",R34=""),"",R34/T34)</f>
        <v>950</v>
      </c>
      <c r="V34" s="7" t="n">
        <f aca="false">IF(OR(Q34="",Q34=0,U34=""),"",U34/Q34)</f>
        <v>0.0179584120982987</v>
      </c>
      <c r="W34" s="8" t="s">
        <v>233</v>
      </c>
      <c r="X34" s="9" t="s">
        <v>57</v>
      </c>
      <c r="Y34" s="10"/>
      <c r="Z34" s="4"/>
      <c r="AA34" s="11" t="n">
        <f aca="false">IF(X34&lt;&gt;"Published",COUNTIF($X$2:X34,"&lt;&gt;Published"),"")</f>
        <v>33</v>
      </c>
    </row>
    <row r="35" customFormat="false" ht="26.85" hidden="false" customHeight="false" outlineLevel="0" collapsed="false">
      <c r="A35" s="4" t="n">
        <v>34</v>
      </c>
      <c r="B35" s="4" t="n">
        <f aca="false">ROUNDUP(A35/3,0)</f>
        <v>12</v>
      </c>
      <c r="C35" s="4" t="s">
        <v>234</v>
      </c>
      <c r="D35" s="4" t="s">
        <v>47</v>
      </c>
      <c r="E35" s="4" t="n">
        <v>17</v>
      </c>
      <c r="F35" s="5" t="s">
        <v>235</v>
      </c>
      <c r="G35" s="5" t="s">
        <v>236</v>
      </c>
      <c r="H35" s="4" t="s">
        <v>50</v>
      </c>
      <c r="I35" s="4" t="s">
        <v>69</v>
      </c>
      <c r="J35" s="4" t="s">
        <v>109</v>
      </c>
      <c r="K35" s="4" t="s">
        <v>53</v>
      </c>
      <c r="L35" s="4" t="n">
        <v>23</v>
      </c>
      <c r="M35" s="4" t="n">
        <v>4</v>
      </c>
      <c r="N35" s="4" t="n">
        <v>1</v>
      </c>
      <c r="O35" s="5" t="s">
        <v>237</v>
      </c>
      <c r="P35" s="4" t="s">
        <v>238</v>
      </c>
      <c r="Q35" s="6" t="n">
        <v>3040</v>
      </c>
      <c r="R35" s="6" t="n">
        <v>58000</v>
      </c>
      <c r="S35" s="7" t="n">
        <f aca="false">IF(OR(Q35="",Q35=0,R35=""),"",R35/Q35)</f>
        <v>19.0789473684211</v>
      </c>
      <c r="T35" s="7" t="n">
        <v>4</v>
      </c>
      <c r="U35" s="6" t="n">
        <f aca="false">IF(OR(T35="",R35=""),"",R35/T35)</f>
        <v>14500</v>
      </c>
      <c r="V35" s="7" t="n">
        <f aca="false">IF(OR(Q35="",Q35=0,U35=""),"",U35/Q35)</f>
        <v>4.76973684210526</v>
      </c>
      <c r="W35" s="8" t="s">
        <v>239</v>
      </c>
      <c r="X35" s="9" t="s">
        <v>57</v>
      </c>
      <c r="Y35" s="10"/>
      <c r="Z35" s="4"/>
      <c r="AA35" s="11" t="n">
        <f aca="false">IF(X35&lt;&gt;"Published",COUNTIF($X$2:X35,"&lt;&gt;Published"),"")</f>
        <v>34</v>
      </c>
    </row>
    <row r="36" customFormat="false" ht="26.85" hidden="false" customHeight="false" outlineLevel="0" collapsed="false">
      <c r="A36" s="4" t="n">
        <v>35</v>
      </c>
      <c r="B36" s="4" t="n">
        <f aca="false">ROUNDUP(A36/3,0)</f>
        <v>12</v>
      </c>
      <c r="C36" s="4" t="s">
        <v>240</v>
      </c>
      <c r="D36" s="4" t="s">
        <v>59</v>
      </c>
      <c r="E36" s="4" t="n">
        <v>17</v>
      </c>
      <c r="F36" s="5" t="s">
        <v>241</v>
      </c>
      <c r="G36" s="5" t="s">
        <v>242</v>
      </c>
      <c r="H36" s="4" t="s">
        <v>50</v>
      </c>
      <c r="I36" s="4" t="s">
        <v>159</v>
      </c>
      <c r="J36" s="4" t="s">
        <v>178</v>
      </c>
      <c r="K36" s="4" t="s">
        <v>53</v>
      </c>
      <c r="L36" s="4" t="n">
        <v>79</v>
      </c>
      <c r="M36" s="4" t="n">
        <v>11</v>
      </c>
      <c r="N36" s="4" t="n">
        <v>1</v>
      </c>
      <c r="O36" s="5" t="s">
        <v>243</v>
      </c>
      <c r="P36" s="4" t="s">
        <v>123</v>
      </c>
      <c r="Q36" s="6" t="n">
        <v>7140</v>
      </c>
      <c r="R36" s="6" t="n">
        <v>58000</v>
      </c>
      <c r="S36" s="7" t="n">
        <f aca="false">IF(OR(Q36="",Q36=0,R36=""),"",R36/Q36)</f>
        <v>8.12324929971989</v>
      </c>
      <c r="T36" s="7" t="n">
        <v>0.25</v>
      </c>
      <c r="U36" s="6" t="n">
        <f aca="false">IF(OR(T36="",R36=""),"",R36/T36)</f>
        <v>232000</v>
      </c>
      <c r="V36" s="7" t="n">
        <f aca="false">IF(OR(Q36="",Q36=0,U36=""),"",U36/Q36)</f>
        <v>32.4929971988796</v>
      </c>
      <c r="W36" s="8" t="s">
        <v>244</v>
      </c>
      <c r="X36" s="9" t="s">
        <v>57</v>
      </c>
      <c r="Y36" s="10"/>
      <c r="Z36" s="4"/>
      <c r="AA36" s="11" t="n">
        <f aca="false">IF(X36&lt;&gt;"Published",COUNTIF($X$2:X36,"&lt;&gt;Published"),"")</f>
        <v>35</v>
      </c>
    </row>
    <row r="37" customFormat="false" ht="26.85" hidden="false" customHeight="false" outlineLevel="0" collapsed="false">
      <c r="A37" s="4" t="n">
        <v>36</v>
      </c>
      <c r="B37" s="4" t="n">
        <f aca="false">ROUNDUP(A37/3,0)</f>
        <v>12</v>
      </c>
      <c r="C37" s="4" t="s">
        <v>245</v>
      </c>
      <c r="D37" s="4" t="s">
        <v>47</v>
      </c>
      <c r="E37" s="4" t="n">
        <v>18</v>
      </c>
      <c r="F37" s="5" t="s">
        <v>246</v>
      </c>
      <c r="G37" s="5" t="s">
        <v>247</v>
      </c>
      <c r="H37" s="4" t="s">
        <v>50</v>
      </c>
      <c r="I37" s="4" t="s">
        <v>69</v>
      </c>
      <c r="J37" s="4" t="s">
        <v>234</v>
      </c>
      <c r="K37" s="4" t="s">
        <v>53</v>
      </c>
      <c r="L37" s="4" t="n">
        <v>29</v>
      </c>
      <c r="M37" s="4" t="n">
        <v>6</v>
      </c>
      <c r="N37" s="4" t="n">
        <v>3</v>
      </c>
      <c r="O37" s="5" t="s">
        <v>248</v>
      </c>
      <c r="P37" s="4" t="s">
        <v>249</v>
      </c>
      <c r="Q37" s="6" t="n">
        <v>298</v>
      </c>
      <c r="R37" s="6" t="n">
        <v>55000</v>
      </c>
      <c r="S37" s="7" t="n">
        <f aca="false">IF(OR(Q37="",Q37=0,R37=""),"",R37/Q37)</f>
        <v>184.563758389262</v>
      </c>
      <c r="T37" s="7" t="n">
        <v>17</v>
      </c>
      <c r="U37" s="6" t="n">
        <f aca="false">IF(OR(T37="",R37=""),"",R37/T37)</f>
        <v>3235.29411764706</v>
      </c>
      <c r="V37" s="7" t="n">
        <f aca="false">IF(OR(Q37="",Q37=0,U37=""),"",U37/Q37)</f>
        <v>10.8566916699566</v>
      </c>
      <c r="W37" s="8" t="s">
        <v>250</v>
      </c>
      <c r="X37" s="9" t="s">
        <v>57</v>
      </c>
      <c r="Y37" s="10"/>
      <c r="Z37" s="4"/>
      <c r="AA37" s="11" t="n">
        <f aca="false">IF(X37&lt;&gt;"Published",COUNTIF($X$2:X37,"&lt;&gt;Published"),"")</f>
        <v>36</v>
      </c>
    </row>
    <row r="38" customFormat="false" ht="26.85" hidden="false" customHeight="false" outlineLevel="0" collapsed="false">
      <c r="A38" s="4" t="n">
        <v>37</v>
      </c>
      <c r="B38" s="4" t="n">
        <f aca="false">ROUNDUP(A38/3,0)</f>
        <v>13</v>
      </c>
      <c r="C38" s="4" t="s">
        <v>251</v>
      </c>
      <c r="D38" s="4" t="s">
        <v>59</v>
      </c>
      <c r="E38" s="4" t="n">
        <v>18</v>
      </c>
      <c r="F38" s="5" t="s">
        <v>252</v>
      </c>
      <c r="G38" s="5" t="s">
        <v>253</v>
      </c>
      <c r="H38" s="4" t="s">
        <v>50</v>
      </c>
      <c r="I38" s="4" t="s">
        <v>159</v>
      </c>
      <c r="J38" s="4" t="s">
        <v>240</v>
      </c>
      <c r="K38" s="4" t="s">
        <v>63</v>
      </c>
      <c r="L38" s="4" t="n">
        <v>9</v>
      </c>
      <c r="M38" s="4" t="n">
        <v>0</v>
      </c>
      <c r="N38" s="4" t="n">
        <v>0</v>
      </c>
      <c r="O38" s="5" t="s">
        <v>254</v>
      </c>
      <c r="P38" s="4" t="s">
        <v>123</v>
      </c>
      <c r="Q38" s="6" t="n">
        <v>7140</v>
      </c>
      <c r="R38" s="6" t="n">
        <v>6200</v>
      </c>
      <c r="S38" s="7" t="n">
        <f aca="false">IF(OR(Q38="",Q38=0,R38=""),"",R38/Q38)</f>
        <v>0.868347338935574</v>
      </c>
      <c r="T38" s="7" t="n">
        <v>0.25</v>
      </c>
      <c r="U38" s="6" t="n">
        <f aca="false">IF(OR(T38="",R38=""),"",R38/T38)</f>
        <v>24800</v>
      </c>
      <c r="V38" s="7" t="n">
        <f aca="false">IF(OR(Q38="",Q38=0,U38=""),"",U38/Q38)</f>
        <v>3.4733893557423</v>
      </c>
      <c r="W38" s="8" t="s">
        <v>255</v>
      </c>
      <c r="X38" s="9" t="s">
        <v>57</v>
      </c>
      <c r="Y38" s="10"/>
      <c r="Z38" s="4"/>
      <c r="AA38" s="11" t="n">
        <f aca="false">IF(X38&lt;&gt;"Published",COUNTIF($X$2:X38,"&lt;&gt;Published"),"")</f>
        <v>37</v>
      </c>
    </row>
    <row r="39" customFormat="false" ht="15" hidden="false" customHeight="false" outlineLevel="0" collapsed="false">
      <c r="A39" s="4" t="n">
        <v>38</v>
      </c>
      <c r="B39" s="4" t="n">
        <f aca="false">ROUNDUP(A39/3,0)</f>
        <v>13</v>
      </c>
      <c r="C39" s="4" t="s">
        <v>256</v>
      </c>
      <c r="D39" s="4" t="s">
        <v>59</v>
      </c>
      <c r="E39" s="4" t="n">
        <v>30</v>
      </c>
      <c r="F39" s="5" t="s">
        <v>257</v>
      </c>
      <c r="G39" s="5" t="s">
        <v>258</v>
      </c>
      <c r="H39" s="4" t="s">
        <v>187</v>
      </c>
      <c r="I39" s="4" t="s">
        <v>259</v>
      </c>
      <c r="J39" s="4" t="s">
        <v>260</v>
      </c>
      <c r="K39" s="4" t="s">
        <v>84</v>
      </c>
      <c r="L39" s="4" t="n">
        <v>1</v>
      </c>
      <c r="M39" s="4" t="n">
        <v>0</v>
      </c>
      <c r="N39" s="4" t="n">
        <v>0</v>
      </c>
      <c r="O39" s="5" t="s">
        <v>261</v>
      </c>
      <c r="P39" s="4" t="s">
        <v>191</v>
      </c>
      <c r="Q39" s="6" t="n">
        <v>11700</v>
      </c>
      <c r="R39" s="6" t="n">
        <v>699</v>
      </c>
      <c r="S39" s="7" t="n">
        <f aca="false">IF(OR(Q39="",Q39=0,R39=""),"",R39/Q39)</f>
        <v>0.0597435897435897</v>
      </c>
      <c r="T39" s="7" t="n">
        <v>0.25</v>
      </c>
      <c r="U39" s="6" t="n">
        <f aca="false">IF(OR(T39="",R39=""),"",R39/T39)</f>
        <v>2796</v>
      </c>
      <c r="V39" s="7" t="n">
        <f aca="false">IF(OR(Q39="",Q39=0,U39=""),"",U39/Q39)</f>
        <v>0.238974358974359</v>
      </c>
      <c r="W39" s="8" t="s">
        <v>262</v>
      </c>
      <c r="X39" s="9" t="s">
        <v>57</v>
      </c>
      <c r="Y39" s="10"/>
      <c r="Z39" s="4"/>
      <c r="AA39" s="11" t="n">
        <f aca="false">IF(X39&lt;&gt;"Published",COUNTIF($X$2:X39,"&lt;&gt;Published"),"")</f>
        <v>38</v>
      </c>
    </row>
    <row r="40" customFormat="false" ht="26.85" hidden="false" customHeight="false" outlineLevel="0" collapsed="false">
      <c r="A40" s="4" t="n">
        <v>39</v>
      </c>
      <c r="B40" s="4" t="n">
        <f aca="false">ROUNDUP(A40/3,0)</f>
        <v>13</v>
      </c>
      <c r="C40" s="4" t="s">
        <v>263</v>
      </c>
      <c r="D40" s="4" t="s">
        <v>264</v>
      </c>
      <c r="E40" s="4" t="n">
        <v>1</v>
      </c>
      <c r="F40" s="5" t="s">
        <v>265</v>
      </c>
      <c r="G40" s="5" t="s">
        <v>266</v>
      </c>
      <c r="H40" s="4" t="s">
        <v>50</v>
      </c>
      <c r="I40" s="4" t="s">
        <v>69</v>
      </c>
      <c r="J40" s="4" t="s">
        <v>52</v>
      </c>
      <c r="K40" s="4" t="s">
        <v>84</v>
      </c>
      <c r="L40" s="4" t="n">
        <v>2</v>
      </c>
      <c r="M40" s="4" t="n">
        <v>0</v>
      </c>
      <c r="N40" s="4" t="n">
        <v>0</v>
      </c>
      <c r="O40" s="5" t="s">
        <v>267</v>
      </c>
      <c r="P40" s="4" t="s">
        <v>268</v>
      </c>
      <c r="Q40" s="6" t="n">
        <v>12100</v>
      </c>
      <c r="R40" s="6" t="n">
        <v>563</v>
      </c>
      <c r="S40" s="7" t="n">
        <f aca="false">IF(OR(Q40="",Q40=0,R40=""),"",R40/Q40)</f>
        <v>0.0465289256198347</v>
      </c>
      <c r="T40" s="7" t="n">
        <v>4</v>
      </c>
      <c r="U40" s="6" t="n">
        <f aca="false">IF(OR(T40="",R40=""),"",R40/T40)</f>
        <v>140.75</v>
      </c>
      <c r="V40" s="7" t="n">
        <f aca="false">IF(OR(Q40="",Q40=0,U40=""),"",U40/Q40)</f>
        <v>0.0116322314049587</v>
      </c>
      <c r="W40" s="8" t="s">
        <v>269</v>
      </c>
      <c r="X40" s="9" t="s">
        <v>57</v>
      </c>
      <c r="Y40" s="10"/>
      <c r="Z40" s="4"/>
      <c r="AA40" s="11" t="n">
        <f aca="false">IF(X40&lt;&gt;"Published",COUNTIF($X$2:X40,"&lt;&gt;Published"),"")</f>
        <v>39</v>
      </c>
    </row>
    <row r="41" customFormat="false" ht="26.85" hidden="false" customHeight="false" outlineLevel="0" collapsed="false">
      <c r="A41" s="4" t="n">
        <v>40</v>
      </c>
      <c r="B41" s="4" t="n">
        <f aca="false">ROUNDUP(A41/3,0)</f>
        <v>14</v>
      </c>
      <c r="C41" s="4" t="s">
        <v>270</v>
      </c>
      <c r="D41" s="4" t="s">
        <v>47</v>
      </c>
      <c r="E41" s="4" t="n">
        <v>19</v>
      </c>
      <c r="F41" s="5" t="s">
        <v>271</v>
      </c>
      <c r="G41" s="5" t="s">
        <v>272</v>
      </c>
      <c r="H41" s="4" t="s">
        <v>50</v>
      </c>
      <c r="I41" s="4" t="s">
        <v>159</v>
      </c>
      <c r="J41" s="4" t="s">
        <v>234</v>
      </c>
      <c r="K41" s="4" t="s">
        <v>63</v>
      </c>
      <c r="L41" s="4" t="n">
        <v>32</v>
      </c>
      <c r="M41" s="4" t="n">
        <v>7</v>
      </c>
      <c r="N41" s="4" t="n">
        <v>1</v>
      </c>
      <c r="O41" s="5" t="s">
        <v>273</v>
      </c>
      <c r="P41" s="4" t="s">
        <v>268</v>
      </c>
      <c r="Q41" s="6" t="n">
        <v>12100</v>
      </c>
      <c r="R41" s="6" t="n">
        <v>79000</v>
      </c>
      <c r="S41" s="7" t="n">
        <f aca="false">IF(OR(Q41="",Q41=0,R41=""),"",R41/Q41)</f>
        <v>6.52892561983471</v>
      </c>
      <c r="T41" s="7" t="n">
        <v>6</v>
      </c>
      <c r="U41" s="6" t="n">
        <f aca="false">IF(OR(T41="",R41=""),"",R41/T41)</f>
        <v>13166.6666666667</v>
      </c>
      <c r="V41" s="7" t="n">
        <f aca="false">IF(OR(Q41="",Q41=0,U41=""),"",U41/Q41)</f>
        <v>1.08815426997245</v>
      </c>
      <c r="W41" s="8" t="s">
        <v>274</v>
      </c>
      <c r="X41" s="9" t="s">
        <v>57</v>
      </c>
      <c r="Y41" s="10"/>
      <c r="Z41" s="4"/>
      <c r="AA41" s="11" t="n">
        <f aca="false">IF(X41&lt;&gt;"Published",COUNTIF($X$2:X41,"&lt;&gt;Published"),"")</f>
        <v>40</v>
      </c>
    </row>
    <row r="42" customFormat="false" ht="26.85" hidden="false" customHeight="false" outlineLevel="0" collapsed="false">
      <c r="A42" s="4" t="n">
        <v>41</v>
      </c>
      <c r="B42" s="4" t="n">
        <f aca="false">ROUNDUP(A42/3,0)</f>
        <v>14</v>
      </c>
      <c r="C42" s="4" t="s">
        <v>275</v>
      </c>
      <c r="D42" s="4" t="s">
        <v>264</v>
      </c>
      <c r="E42" s="4" t="n">
        <v>2</v>
      </c>
      <c r="F42" s="5" t="s">
        <v>276</v>
      </c>
      <c r="G42" s="5" t="s">
        <v>277</v>
      </c>
      <c r="H42" s="4" t="s">
        <v>50</v>
      </c>
      <c r="I42" s="4" t="s">
        <v>69</v>
      </c>
      <c r="J42" s="4" t="s">
        <v>263</v>
      </c>
      <c r="K42" s="4" t="s">
        <v>63</v>
      </c>
      <c r="L42" s="4" t="n">
        <v>14</v>
      </c>
      <c r="M42" s="4" t="n">
        <v>1</v>
      </c>
      <c r="N42" s="4" t="n">
        <v>1</v>
      </c>
      <c r="O42" s="5" t="s">
        <v>278</v>
      </c>
      <c r="P42" s="4" t="s">
        <v>279</v>
      </c>
      <c r="Q42" s="6" t="n">
        <v>9100</v>
      </c>
      <c r="R42" s="6" t="n">
        <v>30000</v>
      </c>
      <c r="S42" s="7" t="n">
        <f aca="false">IF(OR(Q42="",Q42=0,R42=""),"",R42/Q42)</f>
        <v>3.2967032967033</v>
      </c>
      <c r="T42" s="7" t="n">
        <v>1</v>
      </c>
      <c r="U42" s="6" t="n">
        <f aca="false">IF(OR(T42="",R42=""),"",R42/T42)</f>
        <v>30000</v>
      </c>
      <c r="V42" s="7" t="n">
        <f aca="false">IF(OR(Q42="",Q42=0,U42=""),"",U42/Q42)</f>
        <v>3.2967032967033</v>
      </c>
      <c r="W42" s="8" t="s">
        <v>280</v>
      </c>
      <c r="X42" s="9" t="s">
        <v>57</v>
      </c>
      <c r="Y42" s="10"/>
      <c r="Z42" s="4"/>
      <c r="AA42" s="11" t="n">
        <f aca="false">IF(X42&lt;&gt;"Published",COUNTIF($X$2:X42,"&lt;&gt;Published"),"")</f>
        <v>41</v>
      </c>
    </row>
    <row r="43" customFormat="false" ht="26.85" hidden="false" customHeight="false" outlineLevel="0" collapsed="false">
      <c r="A43" s="4" t="n">
        <v>42</v>
      </c>
      <c r="B43" s="4" t="n">
        <f aca="false">ROUNDUP(A43/3,0)</f>
        <v>14</v>
      </c>
      <c r="C43" s="4" t="s">
        <v>281</v>
      </c>
      <c r="D43" s="4" t="s">
        <v>59</v>
      </c>
      <c r="E43" s="4" t="n">
        <v>19</v>
      </c>
      <c r="F43" s="5" t="s">
        <v>282</v>
      </c>
      <c r="G43" s="5" t="s">
        <v>283</v>
      </c>
      <c r="H43" s="4" t="s">
        <v>50</v>
      </c>
      <c r="I43" s="4" t="s">
        <v>69</v>
      </c>
      <c r="J43" s="4" t="s">
        <v>251</v>
      </c>
      <c r="K43" s="4" t="s">
        <v>84</v>
      </c>
      <c r="L43" s="4" t="n">
        <v>5</v>
      </c>
      <c r="M43" s="4" t="n">
        <v>0</v>
      </c>
      <c r="N43" s="4" t="n">
        <v>0</v>
      </c>
      <c r="O43" s="5" t="s">
        <v>284</v>
      </c>
      <c r="P43" s="4" t="s">
        <v>285</v>
      </c>
      <c r="Q43" s="6" t="n">
        <v>7800</v>
      </c>
      <c r="R43" s="6" t="n">
        <v>1300</v>
      </c>
      <c r="S43" s="7" t="n">
        <f aca="false">IF(OR(Q43="",Q43=0,R43=""),"",R43/Q43)</f>
        <v>0.166666666666667</v>
      </c>
      <c r="T43" s="7" t="n">
        <v>6</v>
      </c>
      <c r="U43" s="6" t="n">
        <f aca="false">IF(OR(T43="",R43=""),"",R43/T43)</f>
        <v>216.666666666667</v>
      </c>
      <c r="V43" s="7" t="n">
        <f aca="false">IF(OR(Q43="",Q43=0,U43=""),"",U43/Q43)</f>
        <v>0.0277777777777778</v>
      </c>
      <c r="W43" s="8" t="s">
        <v>286</v>
      </c>
      <c r="X43" s="9" t="s">
        <v>57</v>
      </c>
      <c r="Y43" s="10"/>
      <c r="Z43" s="4"/>
      <c r="AA43" s="11" t="n">
        <f aca="false">IF(X43&lt;&gt;"Published",COUNTIF($X$2:X43,"&lt;&gt;Published"),"")</f>
        <v>42</v>
      </c>
    </row>
    <row r="44" customFormat="false" ht="26.85" hidden="false" customHeight="false" outlineLevel="0" collapsed="false">
      <c r="A44" s="4" t="n">
        <v>43</v>
      </c>
      <c r="B44" s="4" t="n">
        <f aca="false">ROUNDUP(A44/3,0)</f>
        <v>15</v>
      </c>
      <c r="C44" s="4" t="s">
        <v>287</v>
      </c>
      <c r="D44" s="4" t="s">
        <v>264</v>
      </c>
      <c r="E44" s="4" t="n">
        <v>3</v>
      </c>
      <c r="F44" s="5" t="s">
        <v>288</v>
      </c>
      <c r="G44" s="5" t="s">
        <v>289</v>
      </c>
      <c r="H44" s="4" t="s">
        <v>50</v>
      </c>
      <c r="I44" s="4" t="s">
        <v>159</v>
      </c>
      <c r="J44" s="4" t="s">
        <v>275</v>
      </c>
      <c r="K44" s="4" t="s">
        <v>63</v>
      </c>
      <c r="L44" s="4" t="n">
        <v>70</v>
      </c>
      <c r="M44" s="4" t="n">
        <v>5</v>
      </c>
      <c r="N44" s="4" t="n">
        <v>2</v>
      </c>
      <c r="O44" s="5" t="s">
        <v>290</v>
      </c>
      <c r="P44" s="4" t="s">
        <v>291</v>
      </c>
      <c r="Q44" s="6" t="n">
        <v>132000</v>
      </c>
      <c r="R44" s="6" t="n">
        <v>434000</v>
      </c>
      <c r="S44" s="7" t="n">
        <f aca="false">IF(OR(Q44="",Q44=0,R44=""),"",R44/Q44)</f>
        <v>3.28787878787879</v>
      </c>
      <c r="T44" s="7" t="n">
        <v>2</v>
      </c>
      <c r="U44" s="6" t="n">
        <f aca="false">IF(OR(T44="",R44=""),"",R44/T44)</f>
        <v>217000</v>
      </c>
      <c r="V44" s="7" t="n">
        <f aca="false">IF(OR(Q44="",Q44=0,U44=""),"",U44/Q44)</f>
        <v>1.64393939393939</v>
      </c>
      <c r="W44" s="8" t="s">
        <v>292</v>
      </c>
      <c r="X44" s="9" t="s">
        <v>57</v>
      </c>
      <c r="Y44" s="10"/>
      <c r="Z44" s="4"/>
      <c r="AA44" s="11" t="n">
        <f aca="false">IF(X44&lt;&gt;"Published",COUNTIF($X$2:X44,"&lt;&gt;Published"),"")</f>
        <v>43</v>
      </c>
    </row>
    <row r="45" customFormat="false" ht="26.85" hidden="false" customHeight="false" outlineLevel="0" collapsed="false">
      <c r="A45" s="4" t="n">
        <v>44</v>
      </c>
      <c r="B45" s="4" t="n">
        <f aca="false">ROUNDUP(A45/3,0)</f>
        <v>15</v>
      </c>
      <c r="C45" s="4" t="s">
        <v>293</v>
      </c>
      <c r="D45" s="4" t="s">
        <v>294</v>
      </c>
      <c r="E45" s="4" t="n">
        <v>3</v>
      </c>
      <c r="F45" s="5" t="s">
        <v>295</v>
      </c>
      <c r="G45" s="5" t="s">
        <v>296</v>
      </c>
      <c r="H45" s="4" t="s">
        <v>297</v>
      </c>
      <c r="I45" s="4" t="s">
        <v>298</v>
      </c>
      <c r="J45" s="4" t="s">
        <v>287</v>
      </c>
      <c r="K45" s="4" t="s">
        <v>63</v>
      </c>
      <c r="L45" s="4" t="n">
        <v>70</v>
      </c>
      <c r="M45" s="4" t="n">
        <v>5</v>
      </c>
      <c r="N45" s="4" t="n">
        <v>2</v>
      </c>
      <c r="O45" s="5" t="s">
        <v>290</v>
      </c>
      <c r="P45" s="4" t="s">
        <v>291</v>
      </c>
      <c r="Q45" s="6" t="n">
        <v>132000</v>
      </c>
      <c r="R45" s="6" t="n">
        <v>434000</v>
      </c>
      <c r="S45" s="7" t="n">
        <f aca="false">IF(OR(Q45="",Q45=0,R45=""),"",R45/Q45)</f>
        <v>3.28787878787879</v>
      </c>
      <c r="T45" s="7" t="n">
        <v>2</v>
      </c>
      <c r="U45" s="6" t="n">
        <f aca="false">IF(OR(T45="",R45=""),"",R45/T45)</f>
        <v>217000</v>
      </c>
      <c r="V45" s="7" t="n">
        <f aca="false">IF(OR(Q45="",Q45=0,U45=""),"",U45/Q45)</f>
        <v>1.64393939393939</v>
      </c>
      <c r="W45" s="8" t="s">
        <v>292</v>
      </c>
      <c r="X45" s="9" t="s">
        <v>57</v>
      </c>
      <c r="Y45" s="10"/>
      <c r="Z45" s="4"/>
      <c r="AA45" s="11" t="n">
        <f aca="false">IF(X45&lt;&gt;"Published",COUNTIF($X$2:X45,"&lt;&gt;Published"),"")</f>
        <v>44</v>
      </c>
    </row>
    <row r="46" customFormat="false" ht="26.85" hidden="false" customHeight="false" outlineLevel="0" collapsed="false">
      <c r="A46" s="4" t="n">
        <v>45</v>
      </c>
      <c r="B46" s="4" t="n">
        <f aca="false">ROUNDUP(A46/3,0)</f>
        <v>15</v>
      </c>
      <c r="C46" s="4" t="s">
        <v>299</v>
      </c>
      <c r="D46" s="4" t="s">
        <v>47</v>
      </c>
      <c r="E46" s="4" t="n">
        <v>20</v>
      </c>
      <c r="F46" s="5" t="s">
        <v>300</v>
      </c>
      <c r="G46" s="5" t="s">
        <v>301</v>
      </c>
      <c r="H46" s="4" t="s">
        <v>50</v>
      </c>
      <c r="I46" s="4" t="s">
        <v>159</v>
      </c>
      <c r="J46" s="4" t="s">
        <v>203</v>
      </c>
      <c r="K46" s="4" t="s">
        <v>63</v>
      </c>
      <c r="L46" s="4" t="n">
        <v>63</v>
      </c>
      <c r="M46" s="4" t="n">
        <v>13</v>
      </c>
      <c r="N46" s="4" t="n">
        <v>0</v>
      </c>
      <c r="O46" s="5" t="s">
        <v>302</v>
      </c>
      <c r="P46" s="4" t="s">
        <v>303</v>
      </c>
      <c r="Q46" s="6" t="n">
        <v>99100</v>
      </c>
      <c r="R46" s="6" t="n">
        <v>494000</v>
      </c>
      <c r="S46" s="7" t="n">
        <f aca="false">IF(OR(Q46="",Q46=0,R46=""),"",R46/Q46)</f>
        <v>4.98486377396569</v>
      </c>
      <c r="T46" s="7" t="n">
        <v>10</v>
      </c>
      <c r="U46" s="6" t="n">
        <f aca="false">IF(OR(T46="",R46=""),"",R46/T46)</f>
        <v>49400</v>
      </c>
      <c r="V46" s="7" t="n">
        <f aca="false">IF(OR(Q46="",Q46=0,U46=""),"",U46/Q46)</f>
        <v>0.498486377396569</v>
      </c>
      <c r="W46" s="8" t="s">
        <v>304</v>
      </c>
      <c r="X46" s="9" t="s">
        <v>57</v>
      </c>
      <c r="Y46" s="10"/>
      <c r="Z46" s="4"/>
      <c r="AA46" s="11" t="n">
        <f aca="false">IF(X46&lt;&gt;"Published",COUNTIF($X$2:X46,"&lt;&gt;Published"),"")</f>
        <v>45</v>
      </c>
    </row>
    <row r="47" customFormat="false" ht="26.85" hidden="false" customHeight="false" outlineLevel="0" collapsed="false">
      <c r="A47" s="4" t="n">
        <v>46</v>
      </c>
      <c r="B47" s="4" t="n">
        <f aca="false">ROUNDUP(A47/3,0)</f>
        <v>16</v>
      </c>
      <c r="C47" s="4" t="s">
        <v>305</v>
      </c>
      <c r="D47" s="4" t="s">
        <v>294</v>
      </c>
      <c r="E47" s="4" t="n">
        <v>1</v>
      </c>
      <c r="F47" s="5" t="s">
        <v>306</v>
      </c>
      <c r="G47" s="5" t="s">
        <v>307</v>
      </c>
      <c r="H47" s="4" t="s">
        <v>308</v>
      </c>
      <c r="I47" s="4" t="s">
        <v>159</v>
      </c>
      <c r="J47" s="4" t="s">
        <v>299</v>
      </c>
      <c r="K47" s="4" t="s">
        <v>53</v>
      </c>
      <c r="L47" s="4" t="n">
        <v>13</v>
      </c>
      <c r="M47" s="4" t="n">
        <v>8</v>
      </c>
      <c r="N47" s="4" t="n">
        <v>6</v>
      </c>
      <c r="O47" s="5" t="s">
        <v>309</v>
      </c>
      <c r="P47" s="4" t="s">
        <v>310</v>
      </c>
      <c r="Q47" s="6" t="n">
        <v>22900</v>
      </c>
      <c r="R47" s="6" t="n">
        <v>1200000</v>
      </c>
      <c r="S47" s="7" t="n">
        <f aca="false">IF(OR(Q47="",Q47=0,R47=""),"",R47/Q47)</f>
        <v>52.4017467248908</v>
      </c>
      <c r="T47" s="7" t="n">
        <v>2</v>
      </c>
      <c r="U47" s="6" t="n">
        <f aca="false">IF(OR(T47="",R47=""),"",R47/T47)</f>
        <v>600000</v>
      </c>
      <c r="V47" s="7" t="n">
        <f aca="false">IF(OR(Q47="",Q47=0,U47=""),"",U47/Q47)</f>
        <v>26.2008733624454</v>
      </c>
      <c r="W47" s="8" t="s">
        <v>311</v>
      </c>
      <c r="X47" s="9" t="s">
        <v>57</v>
      </c>
      <c r="Y47" s="10"/>
      <c r="Z47" s="4"/>
      <c r="AA47" s="11" t="n">
        <f aca="false">IF(X47&lt;&gt;"Published",COUNTIF($X$2:X47,"&lt;&gt;Published"),"")</f>
        <v>46</v>
      </c>
    </row>
    <row r="48" customFormat="false" ht="26.85" hidden="false" customHeight="false" outlineLevel="0" collapsed="false">
      <c r="A48" s="4" t="n">
        <v>47</v>
      </c>
      <c r="B48" s="4" t="n">
        <f aca="false">ROUNDUP(A48/3,0)</f>
        <v>16</v>
      </c>
      <c r="C48" s="4" t="s">
        <v>312</v>
      </c>
      <c r="D48" s="4" t="s">
        <v>264</v>
      </c>
      <c r="E48" s="4" t="n">
        <v>4</v>
      </c>
      <c r="F48" s="5" t="s">
        <v>313</v>
      </c>
      <c r="G48" s="5" t="s">
        <v>314</v>
      </c>
      <c r="H48" s="4" t="s">
        <v>50</v>
      </c>
      <c r="I48" s="4" t="s">
        <v>51</v>
      </c>
      <c r="J48" s="4" t="s">
        <v>287</v>
      </c>
      <c r="K48" s="4" t="s">
        <v>84</v>
      </c>
      <c r="L48" s="4" t="n">
        <v>4</v>
      </c>
      <c r="M48" s="4" t="n">
        <v>0</v>
      </c>
      <c r="N48" s="4" t="n">
        <v>0</v>
      </c>
      <c r="O48" s="5" t="s">
        <v>315</v>
      </c>
      <c r="P48" s="4" t="s">
        <v>316</v>
      </c>
      <c r="Q48" s="6" t="n">
        <v>26600</v>
      </c>
      <c r="R48" s="6" t="n">
        <v>20000</v>
      </c>
      <c r="S48" s="7" t="n">
        <f aca="false">IF(OR(Q48="",Q48=0,R48=""),"",R48/Q48)</f>
        <v>0.75187969924812</v>
      </c>
      <c r="T48" s="7" t="n">
        <v>5</v>
      </c>
      <c r="U48" s="6" t="n">
        <f aca="false">IF(OR(T48="",R48=""),"",R48/T48)</f>
        <v>4000</v>
      </c>
      <c r="V48" s="7" t="n">
        <f aca="false">IF(OR(Q48="",Q48=0,U48=""),"",U48/Q48)</f>
        <v>0.150375939849624</v>
      </c>
      <c r="W48" s="8" t="s">
        <v>317</v>
      </c>
      <c r="X48" s="9" t="s">
        <v>57</v>
      </c>
      <c r="Y48" s="10"/>
      <c r="Z48" s="4"/>
      <c r="AA48" s="11" t="n">
        <f aca="false">IF(X48&lt;&gt;"Published",COUNTIF($X$2:X48,"&lt;&gt;Published"),"")</f>
        <v>47</v>
      </c>
    </row>
    <row r="49" customFormat="false" ht="26.85" hidden="false" customHeight="false" outlineLevel="0" collapsed="false">
      <c r="A49" s="4" t="n">
        <v>48</v>
      </c>
      <c r="B49" s="4" t="n">
        <f aca="false">ROUNDUP(A49/3,0)</f>
        <v>16</v>
      </c>
      <c r="C49" s="4" t="s">
        <v>318</v>
      </c>
      <c r="D49" s="4" t="s">
        <v>59</v>
      </c>
      <c r="E49" s="4" t="n">
        <v>20</v>
      </c>
      <c r="F49" s="5" t="s">
        <v>319</v>
      </c>
      <c r="G49" s="5" t="s">
        <v>320</v>
      </c>
      <c r="H49" s="4" t="s">
        <v>50</v>
      </c>
      <c r="I49" s="4" t="s">
        <v>159</v>
      </c>
      <c r="J49" s="4" t="s">
        <v>251</v>
      </c>
      <c r="K49" s="4" t="s">
        <v>53</v>
      </c>
      <c r="L49" s="4" t="n">
        <v>44</v>
      </c>
      <c r="M49" s="4" t="n">
        <v>5</v>
      </c>
      <c r="N49" s="4" t="n">
        <v>0</v>
      </c>
      <c r="O49" s="5" t="s">
        <v>321</v>
      </c>
      <c r="P49" s="4" t="s">
        <v>123</v>
      </c>
      <c r="Q49" s="6" t="n">
        <v>7140</v>
      </c>
      <c r="R49" s="6" t="n">
        <v>83000</v>
      </c>
      <c r="S49" s="7" t="n">
        <f aca="false">IF(OR(Q49="",Q49=0,R49=""),"",R49/Q49)</f>
        <v>11.624649859944</v>
      </c>
      <c r="T49" s="7" t="n">
        <v>0.25</v>
      </c>
      <c r="U49" s="6" t="n">
        <f aca="false">IF(OR(T49="",R49=""),"",R49/T49)</f>
        <v>332000</v>
      </c>
      <c r="V49" s="7" t="n">
        <f aca="false">IF(OR(Q49="",Q49=0,U49=""),"",U49/Q49)</f>
        <v>46.4985994397759</v>
      </c>
      <c r="W49" s="8" t="s">
        <v>322</v>
      </c>
      <c r="X49" s="9" t="s">
        <v>57</v>
      </c>
      <c r="Y49" s="10"/>
      <c r="Z49" s="4"/>
      <c r="AA49" s="11" t="n">
        <f aca="false">IF(X49&lt;&gt;"Published",COUNTIF($X$2:X49,"&lt;&gt;Published"),"")</f>
        <v>48</v>
      </c>
    </row>
    <row r="50" customFormat="false" ht="26.85" hidden="false" customHeight="false" outlineLevel="0" collapsed="false">
      <c r="A50" s="4" t="n">
        <v>49</v>
      </c>
      <c r="B50" s="4" t="n">
        <f aca="false">ROUNDUP(A50/3,0)</f>
        <v>17</v>
      </c>
      <c r="C50" s="4" t="s">
        <v>323</v>
      </c>
      <c r="D50" s="4" t="s">
        <v>264</v>
      </c>
      <c r="E50" s="4" t="n">
        <v>5</v>
      </c>
      <c r="F50" s="5" t="s">
        <v>324</v>
      </c>
      <c r="G50" s="5" t="s">
        <v>325</v>
      </c>
      <c r="H50" s="4" t="s">
        <v>50</v>
      </c>
      <c r="I50" s="4" t="s">
        <v>69</v>
      </c>
      <c r="J50" s="4" t="s">
        <v>263</v>
      </c>
      <c r="K50" s="4" t="s">
        <v>53</v>
      </c>
      <c r="L50" s="4" t="n">
        <v>61</v>
      </c>
      <c r="M50" s="4" t="n">
        <v>3</v>
      </c>
      <c r="N50" s="4" t="n">
        <v>1</v>
      </c>
      <c r="O50" s="5" t="s">
        <v>326</v>
      </c>
      <c r="P50" s="4" t="s">
        <v>310</v>
      </c>
      <c r="Q50" s="6" t="n">
        <v>22900</v>
      </c>
      <c r="R50" s="6" t="n">
        <v>443000</v>
      </c>
      <c r="S50" s="7" t="n">
        <f aca="false">IF(OR(Q50="",Q50=0,R50=""),"",R50/Q50)</f>
        <v>19.3449781659389</v>
      </c>
      <c r="T50" s="7" t="n">
        <v>2</v>
      </c>
      <c r="U50" s="6" t="n">
        <f aca="false">IF(OR(T50="",R50=""),"",R50/T50)</f>
        <v>221500</v>
      </c>
      <c r="V50" s="7" t="n">
        <f aca="false">IF(OR(Q50="",Q50=0,U50=""),"",U50/Q50)</f>
        <v>9.67248908296943</v>
      </c>
      <c r="W50" s="8" t="s">
        <v>327</v>
      </c>
      <c r="X50" s="9" t="s">
        <v>57</v>
      </c>
      <c r="Y50" s="10"/>
      <c r="Z50" s="4"/>
      <c r="AA50" s="11" t="n">
        <f aca="false">IF(X50&lt;&gt;"Published",COUNTIF($X$2:X50,"&lt;&gt;Published"),"")</f>
        <v>49</v>
      </c>
    </row>
    <row r="51" customFormat="false" ht="26.85" hidden="false" customHeight="false" outlineLevel="0" collapsed="false">
      <c r="A51" s="4" t="n">
        <v>50</v>
      </c>
      <c r="B51" s="4" t="n">
        <f aca="false">ROUNDUP(A51/3,0)</f>
        <v>17</v>
      </c>
      <c r="C51" s="4" t="s">
        <v>328</v>
      </c>
      <c r="D51" s="4" t="s">
        <v>47</v>
      </c>
      <c r="E51" s="4" t="n">
        <v>21</v>
      </c>
      <c r="F51" s="5" t="s">
        <v>300</v>
      </c>
      <c r="G51" s="5" t="s">
        <v>329</v>
      </c>
      <c r="H51" s="4" t="s">
        <v>50</v>
      </c>
      <c r="I51" s="4" t="s">
        <v>69</v>
      </c>
      <c r="J51" s="4" t="s">
        <v>299</v>
      </c>
      <c r="K51" s="4" t="s">
        <v>63</v>
      </c>
      <c r="L51" s="4" t="n">
        <v>8</v>
      </c>
      <c r="M51" s="4" t="n">
        <v>1</v>
      </c>
      <c r="N51" s="4" t="n">
        <v>0</v>
      </c>
      <c r="O51" s="5" t="s">
        <v>330</v>
      </c>
      <c r="P51" s="4" t="s">
        <v>232</v>
      </c>
      <c r="Q51" s="6" t="n">
        <v>52900</v>
      </c>
      <c r="R51" s="6" t="n">
        <v>99000</v>
      </c>
      <c r="S51" s="7" t="n">
        <f aca="false">IF(OR(Q51="",Q51=0,R51=""),"",R51/Q51)</f>
        <v>1.87145557655955</v>
      </c>
      <c r="T51" s="7" t="n">
        <v>6</v>
      </c>
      <c r="U51" s="6" t="n">
        <f aca="false">IF(OR(T51="",R51=""),"",R51/T51)</f>
        <v>16500</v>
      </c>
      <c r="V51" s="7" t="n">
        <f aca="false">IF(OR(Q51="",Q51=0,U51=""),"",U51/Q51)</f>
        <v>0.311909262759924</v>
      </c>
      <c r="W51" s="8" t="s">
        <v>331</v>
      </c>
      <c r="X51" s="9" t="s">
        <v>57</v>
      </c>
      <c r="Y51" s="10"/>
      <c r="Z51" s="4"/>
      <c r="AA51" s="11" t="n">
        <f aca="false">IF(X51&lt;&gt;"Published",COUNTIF($X$2:X51,"&lt;&gt;Published"),"")</f>
        <v>50</v>
      </c>
    </row>
    <row r="52" customFormat="false" ht="26.85" hidden="false" customHeight="false" outlineLevel="0" collapsed="false">
      <c r="A52" s="4" t="n">
        <v>51</v>
      </c>
      <c r="B52" s="4" t="n">
        <f aca="false">ROUNDUP(A52/3,0)</f>
        <v>17</v>
      </c>
      <c r="C52" s="4" t="s">
        <v>332</v>
      </c>
      <c r="D52" s="4" t="s">
        <v>264</v>
      </c>
      <c r="E52" s="4" t="n">
        <v>6</v>
      </c>
      <c r="F52" s="5" t="s">
        <v>333</v>
      </c>
      <c r="G52" s="5" t="s">
        <v>334</v>
      </c>
      <c r="H52" s="4" t="s">
        <v>50</v>
      </c>
      <c r="I52" s="4" t="s">
        <v>69</v>
      </c>
      <c r="J52" s="4" t="s">
        <v>263</v>
      </c>
      <c r="K52" s="4" t="s">
        <v>53</v>
      </c>
      <c r="L52" s="4" t="n">
        <v>82</v>
      </c>
      <c r="M52" s="4" t="n">
        <v>5</v>
      </c>
      <c r="N52" s="4" t="n">
        <v>4</v>
      </c>
      <c r="O52" s="5" t="s">
        <v>335</v>
      </c>
      <c r="P52" s="4" t="s">
        <v>336</v>
      </c>
      <c r="Q52" s="6" t="n">
        <v>128000</v>
      </c>
      <c r="R52" s="6" t="n">
        <v>489000</v>
      </c>
      <c r="S52" s="7" t="n">
        <f aca="false">IF(OR(Q52="",Q52=0,R52=""),"",R52/Q52)</f>
        <v>3.8203125</v>
      </c>
      <c r="T52" s="7" t="n">
        <v>12</v>
      </c>
      <c r="U52" s="6" t="n">
        <f aca="false">IF(OR(T52="",R52=""),"",R52/T52)</f>
        <v>40750</v>
      </c>
      <c r="V52" s="7" t="n">
        <f aca="false">IF(OR(Q52="",Q52=0,U52=""),"",U52/Q52)</f>
        <v>0.318359375</v>
      </c>
      <c r="W52" s="8" t="s">
        <v>337</v>
      </c>
      <c r="X52" s="9" t="s">
        <v>57</v>
      </c>
      <c r="Y52" s="10"/>
      <c r="Z52" s="4"/>
      <c r="AA52" s="11" t="n">
        <f aca="false">IF(X52&lt;&gt;"Published",COUNTIF($X$2:X52,"&lt;&gt;Published"),"")</f>
        <v>51</v>
      </c>
    </row>
    <row r="53" customFormat="false" ht="26.85" hidden="false" customHeight="false" outlineLevel="0" collapsed="false">
      <c r="A53" s="4" t="n">
        <v>52</v>
      </c>
      <c r="B53" s="4" t="n">
        <f aca="false">ROUNDUP(A53/3,0)</f>
        <v>18</v>
      </c>
      <c r="C53" s="4" t="s">
        <v>338</v>
      </c>
      <c r="D53" s="4" t="s">
        <v>59</v>
      </c>
      <c r="E53" s="4" t="n">
        <v>21</v>
      </c>
      <c r="F53" s="5" t="s">
        <v>339</v>
      </c>
      <c r="G53" s="5" t="s">
        <v>340</v>
      </c>
      <c r="H53" s="4" t="s">
        <v>50</v>
      </c>
      <c r="I53" s="4" t="s">
        <v>69</v>
      </c>
      <c r="J53" s="4" t="s">
        <v>341</v>
      </c>
      <c r="K53" s="4" t="s">
        <v>63</v>
      </c>
      <c r="L53" s="4" t="n">
        <v>20</v>
      </c>
      <c r="M53" s="4" t="n">
        <v>2</v>
      </c>
      <c r="N53" s="4" t="n">
        <v>1</v>
      </c>
      <c r="O53" s="5" t="s">
        <v>342</v>
      </c>
      <c r="P53" s="4" t="s">
        <v>55</v>
      </c>
      <c r="Q53" s="6" t="n">
        <v>102000</v>
      </c>
      <c r="R53" s="6" t="n">
        <v>256000</v>
      </c>
      <c r="S53" s="7" t="n">
        <f aca="false">IF(OR(Q53="",Q53=0,R53=""),"",R53/Q53)</f>
        <v>2.50980392156863</v>
      </c>
      <c r="T53" s="7" t="n">
        <v>7</v>
      </c>
      <c r="U53" s="6" t="n">
        <f aca="false">IF(OR(T53="",R53=""),"",R53/T53)</f>
        <v>36571.4285714286</v>
      </c>
      <c r="V53" s="7" t="n">
        <f aca="false">IF(OR(Q53="",Q53=0,U53=""),"",U53/Q53)</f>
        <v>0.358543417366947</v>
      </c>
      <c r="W53" s="8" t="s">
        <v>343</v>
      </c>
      <c r="X53" s="9" t="s">
        <v>57</v>
      </c>
      <c r="Y53" s="10"/>
      <c r="Z53" s="4"/>
      <c r="AA53" s="11" t="n">
        <f aca="false">IF(X53&lt;&gt;"Published",COUNTIF($X$2:X53,"&lt;&gt;Published"),"")</f>
        <v>52</v>
      </c>
    </row>
    <row r="54" customFormat="false" ht="26.85" hidden="false" customHeight="false" outlineLevel="0" collapsed="false">
      <c r="A54" s="4" t="n">
        <v>53</v>
      </c>
      <c r="B54" s="4" t="n">
        <f aca="false">ROUNDUP(A54/3,0)</f>
        <v>18</v>
      </c>
      <c r="C54" s="4" t="s">
        <v>344</v>
      </c>
      <c r="D54" s="4" t="s">
        <v>264</v>
      </c>
      <c r="E54" s="4" t="n">
        <v>7</v>
      </c>
      <c r="F54" s="5" t="s">
        <v>345</v>
      </c>
      <c r="G54" s="5" t="s">
        <v>346</v>
      </c>
      <c r="H54" s="4" t="s">
        <v>50</v>
      </c>
      <c r="I54" s="4" t="s">
        <v>69</v>
      </c>
      <c r="J54" s="4" t="s">
        <v>332</v>
      </c>
      <c r="K54" s="4" t="s">
        <v>63</v>
      </c>
      <c r="L54" s="4" t="n">
        <v>20</v>
      </c>
      <c r="M54" s="4" t="n">
        <v>1</v>
      </c>
      <c r="N54" s="4" t="n">
        <v>0</v>
      </c>
      <c r="O54" s="5" t="s">
        <v>347</v>
      </c>
      <c r="P54" s="4" t="s">
        <v>316</v>
      </c>
      <c r="Q54" s="6" t="n">
        <v>26600</v>
      </c>
      <c r="R54" s="6" t="n">
        <v>67000</v>
      </c>
      <c r="S54" s="7" t="n">
        <f aca="false">IF(OR(Q54="",Q54=0,R54=""),"",R54/Q54)</f>
        <v>2.5187969924812</v>
      </c>
      <c r="T54" s="7" t="n">
        <v>5</v>
      </c>
      <c r="U54" s="6" t="n">
        <f aca="false">IF(OR(T54="",R54=""),"",R54/T54)</f>
        <v>13400</v>
      </c>
      <c r="V54" s="7" t="n">
        <f aca="false">IF(OR(Q54="",Q54=0,U54=""),"",U54/Q54)</f>
        <v>0.503759398496241</v>
      </c>
      <c r="W54" s="8" t="s">
        <v>348</v>
      </c>
      <c r="X54" s="9" t="s">
        <v>57</v>
      </c>
      <c r="Y54" s="10"/>
      <c r="Z54" s="4"/>
      <c r="AA54" s="11" t="n">
        <f aca="false">IF(X54&lt;&gt;"Published",COUNTIF($X$2:X54,"&lt;&gt;Published"),"")</f>
        <v>53</v>
      </c>
    </row>
    <row r="55" customFormat="false" ht="26.85" hidden="false" customHeight="false" outlineLevel="0" collapsed="false">
      <c r="A55" s="4" t="n">
        <v>54</v>
      </c>
      <c r="B55" s="4" t="n">
        <f aca="false">ROUNDUP(A55/3,0)</f>
        <v>18</v>
      </c>
      <c r="C55" s="4" t="s">
        <v>349</v>
      </c>
      <c r="D55" s="4" t="s">
        <v>47</v>
      </c>
      <c r="E55" s="4" t="n">
        <v>22</v>
      </c>
      <c r="F55" s="5" t="s">
        <v>350</v>
      </c>
      <c r="G55" s="5" t="s">
        <v>351</v>
      </c>
      <c r="H55" s="4" t="s">
        <v>50</v>
      </c>
      <c r="I55" s="4" t="s">
        <v>159</v>
      </c>
      <c r="J55" s="4" t="s">
        <v>328</v>
      </c>
      <c r="K55" s="4" t="s">
        <v>63</v>
      </c>
      <c r="L55" s="4" t="n">
        <v>11</v>
      </c>
      <c r="M55" s="4" t="n">
        <v>3</v>
      </c>
      <c r="N55" s="4" t="n">
        <v>0</v>
      </c>
      <c r="O55" s="5" t="s">
        <v>352</v>
      </c>
      <c r="P55" s="4" t="s">
        <v>353</v>
      </c>
      <c r="Q55" s="6" t="n">
        <v>5670</v>
      </c>
      <c r="R55" s="6" t="n">
        <v>10000</v>
      </c>
      <c r="S55" s="7" t="n">
        <f aca="false">IF(OR(Q55="",Q55=0,R55=""),"",R55/Q55)</f>
        <v>1.7636684303351</v>
      </c>
      <c r="T55" s="7" t="n">
        <v>6</v>
      </c>
      <c r="U55" s="6" t="n">
        <f aca="false">IF(OR(T55="",R55=""),"",R55/T55)</f>
        <v>1666.66666666667</v>
      </c>
      <c r="V55" s="7" t="n">
        <f aca="false">IF(OR(Q55="",Q55=0,U55=""),"",U55/Q55)</f>
        <v>0.293944738389183</v>
      </c>
      <c r="W55" s="8" t="s">
        <v>354</v>
      </c>
      <c r="X55" s="9" t="s">
        <v>57</v>
      </c>
      <c r="Y55" s="10"/>
      <c r="Z55" s="4"/>
      <c r="AA55" s="11" t="n">
        <f aca="false">IF(X55&lt;&gt;"Published",COUNTIF($X$2:X55,"&lt;&gt;Published"),"")</f>
        <v>54</v>
      </c>
    </row>
    <row r="56" customFormat="false" ht="26.85" hidden="false" customHeight="false" outlineLevel="0" collapsed="false">
      <c r="A56" s="4" t="n">
        <v>55</v>
      </c>
      <c r="B56" s="4" t="n">
        <f aca="false">ROUNDUP(A56/3,0)</f>
        <v>19</v>
      </c>
      <c r="C56" s="4" t="s">
        <v>355</v>
      </c>
      <c r="D56" s="4" t="s">
        <v>264</v>
      </c>
      <c r="E56" s="4" t="n">
        <v>8</v>
      </c>
      <c r="F56" s="5" t="s">
        <v>356</v>
      </c>
      <c r="G56" s="5" t="s">
        <v>357</v>
      </c>
      <c r="H56" s="4" t="s">
        <v>50</v>
      </c>
      <c r="I56" s="4" t="s">
        <v>69</v>
      </c>
      <c r="J56" s="4" t="s">
        <v>344</v>
      </c>
      <c r="K56" s="4" t="s">
        <v>53</v>
      </c>
      <c r="L56" s="4" t="n">
        <v>146</v>
      </c>
      <c r="M56" s="4" t="n">
        <v>9</v>
      </c>
      <c r="N56" s="4" t="n">
        <v>3</v>
      </c>
      <c r="O56" s="5" t="s">
        <v>358</v>
      </c>
      <c r="P56" s="4" t="s">
        <v>359</v>
      </c>
      <c r="Q56" s="6" t="n">
        <v>149000</v>
      </c>
      <c r="R56" s="6" t="n">
        <v>708000</v>
      </c>
      <c r="S56" s="7" t="n">
        <f aca="false">IF(OR(Q56="",Q56=0,R56=""),"",R56/Q56)</f>
        <v>4.75167785234899</v>
      </c>
      <c r="T56" s="7" t="n">
        <v>13</v>
      </c>
      <c r="U56" s="6" t="n">
        <f aca="false">IF(OR(T56="",R56=""),"",R56/T56)</f>
        <v>54461.5384615385</v>
      </c>
      <c r="V56" s="7" t="n">
        <f aca="false">IF(OR(Q56="",Q56=0,U56=""),"",U56/Q56)</f>
        <v>0.365513680949923</v>
      </c>
      <c r="W56" s="8" t="s">
        <v>360</v>
      </c>
      <c r="X56" s="9" t="s">
        <v>57</v>
      </c>
      <c r="Y56" s="10"/>
      <c r="Z56" s="4"/>
      <c r="AA56" s="11" t="n">
        <f aca="false">IF(X56&lt;&gt;"Published",COUNTIF($X$2:X56,"&lt;&gt;Published"),"")</f>
        <v>55</v>
      </c>
    </row>
    <row r="57" customFormat="false" ht="26.85" hidden="false" customHeight="false" outlineLevel="0" collapsed="false">
      <c r="A57" s="4" t="n">
        <v>56</v>
      </c>
      <c r="B57" s="4" t="n">
        <f aca="false">ROUNDUP(A57/3,0)</f>
        <v>19</v>
      </c>
      <c r="C57" s="4" t="s">
        <v>361</v>
      </c>
      <c r="D57" s="4" t="s">
        <v>59</v>
      </c>
      <c r="E57" s="4" t="n">
        <v>22</v>
      </c>
      <c r="F57" s="5" t="s">
        <v>362</v>
      </c>
      <c r="G57" s="5" t="s">
        <v>363</v>
      </c>
      <c r="H57" s="4" t="s">
        <v>50</v>
      </c>
      <c r="I57" s="4" t="s">
        <v>159</v>
      </c>
      <c r="J57" s="4" t="s">
        <v>338</v>
      </c>
      <c r="K57" s="4" t="s">
        <v>63</v>
      </c>
      <c r="L57" s="4" t="n">
        <v>6</v>
      </c>
      <c r="M57" s="4" t="n">
        <v>2</v>
      </c>
      <c r="N57" s="4" t="n">
        <v>0</v>
      </c>
      <c r="O57" s="5" t="s">
        <v>364</v>
      </c>
      <c r="P57" s="4" t="s">
        <v>55</v>
      </c>
      <c r="Q57" s="6" t="n">
        <v>102000</v>
      </c>
      <c r="R57" s="6" t="n">
        <v>119000</v>
      </c>
      <c r="S57" s="7" t="n">
        <f aca="false">IF(OR(Q57="",Q57=0,R57=""),"",R57/Q57)</f>
        <v>1.16666666666667</v>
      </c>
      <c r="T57" s="7" t="n">
        <v>7</v>
      </c>
      <c r="U57" s="6" t="n">
        <f aca="false">IF(OR(T57="",R57=""),"",R57/T57)</f>
        <v>17000</v>
      </c>
      <c r="V57" s="7" t="n">
        <f aca="false">IF(OR(Q57="",Q57=0,U57=""),"",U57/Q57)</f>
        <v>0.166666666666667</v>
      </c>
      <c r="W57" s="8" t="s">
        <v>365</v>
      </c>
      <c r="X57" s="9" t="s">
        <v>57</v>
      </c>
      <c r="Y57" s="10"/>
      <c r="Z57" s="4"/>
      <c r="AA57" s="11" t="n">
        <f aca="false">IF(X57&lt;&gt;"Published",COUNTIF($X$2:X57,"&lt;&gt;Published"),"")</f>
        <v>56</v>
      </c>
    </row>
    <row r="58" customFormat="false" ht="26.85" hidden="false" customHeight="false" outlineLevel="0" collapsed="false">
      <c r="A58" s="4" t="n">
        <v>57</v>
      </c>
      <c r="B58" s="4" t="n">
        <f aca="false">ROUNDUP(A58/3,0)</f>
        <v>19</v>
      </c>
      <c r="C58" s="4" t="s">
        <v>366</v>
      </c>
      <c r="D58" s="4" t="s">
        <v>264</v>
      </c>
      <c r="E58" s="4" t="n">
        <v>9</v>
      </c>
      <c r="F58" s="5" t="s">
        <v>367</v>
      </c>
      <c r="G58" s="5" t="s">
        <v>368</v>
      </c>
      <c r="H58" s="4" t="s">
        <v>50</v>
      </c>
      <c r="I58" s="4" t="s">
        <v>69</v>
      </c>
      <c r="J58" s="4" t="s">
        <v>332</v>
      </c>
      <c r="K58" s="4" t="s">
        <v>84</v>
      </c>
      <c r="L58" s="4" t="n">
        <v>17</v>
      </c>
      <c r="M58" s="4" t="n">
        <v>0</v>
      </c>
      <c r="N58" s="4" t="n">
        <v>0</v>
      </c>
      <c r="O58" s="5" t="s">
        <v>369</v>
      </c>
      <c r="P58" s="4" t="s">
        <v>336</v>
      </c>
      <c r="Q58" s="6" t="n">
        <v>128000</v>
      </c>
      <c r="R58" s="6" t="n">
        <v>54000</v>
      </c>
      <c r="S58" s="7" t="n">
        <f aca="false">IF(OR(Q58="",Q58=0,R58=""),"",R58/Q58)</f>
        <v>0.421875</v>
      </c>
      <c r="T58" s="7" t="n">
        <v>7</v>
      </c>
      <c r="U58" s="6" t="n">
        <f aca="false">IF(OR(T58="",R58=""),"",R58/T58)</f>
        <v>7714.28571428572</v>
      </c>
      <c r="V58" s="7" t="n">
        <f aca="false">IF(OR(Q58="",Q58=0,U58=""),"",U58/Q58)</f>
        <v>0.0602678571428571</v>
      </c>
      <c r="W58" s="8" t="s">
        <v>370</v>
      </c>
      <c r="X58" s="9" t="s">
        <v>57</v>
      </c>
      <c r="Y58" s="10"/>
      <c r="Z58" s="4"/>
      <c r="AA58" s="11" t="n">
        <f aca="false">IF(X58&lt;&gt;"Published",COUNTIF($X$2:X58,"&lt;&gt;Published"),"")</f>
        <v>57</v>
      </c>
    </row>
    <row r="59" customFormat="false" ht="26.85" hidden="false" customHeight="false" outlineLevel="0" collapsed="false">
      <c r="A59" s="4" t="n">
        <v>58</v>
      </c>
      <c r="B59" s="4" t="n">
        <f aca="false">ROUNDUP(A59/3,0)</f>
        <v>20</v>
      </c>
      <c r="C59" s="4" t="s">
        <v>371</v>
      </c>
      <c r="D59" s="4" t="s">
        <v>47</v>
      </c>
      <c r="E59" s="4" t="n">
        <v>23</v>
      </c>
      <c r="F59" s="5" t="s">
        <v>372</v>
      </c>
      <c r="G59" s="5" t="s">
        <v>373</v>
      </c>
      <c r="H59" s="4" t="s">
        <v>50</v>
      </c>
      <c r="I59" s="4" t="s">
        <v>69</v>
      </c>
      <c r="J59" s="4" t="s">
        <v>349</v>
      </c>
      <c r="K59" s="4" t="s">
        <v>53</v>
      </c>
      <c r="L59" s="4" t="n">
        <v>38</v>
      </c>
      <c r="M59" s="4" t="n">
        <v>3</v>
      </c>
      <c r="N59" s="4" t="n">
        <v>1</v>
      </c>
      <c r="O59" s="5" t="s">
        <v>374</v>
      </c>
      <c r="P59" s="4" t="s">
        <v>375</v>
      </c>
      <c r="Q59" s="6" t="n">
        <v>91100</v>
      </c>
      <c r="R59" s="6" t="n">
        <v>918000</v>
      </c>
      <c r="S59" s="7" t="n">
        <f aca="false">IF(OR(Q59="",Q59=0,R59=""),"",R59/Q59)</f>
        <v>10.0768386388584</v>
      </c>
      <c r="T59" s="7" t="n">
        <v>2</v>
      </c>
      <c r="U59" s="6" t="n">
        <f aca="false">IF(OR(T59="",R59=""),"",R59/T59)</f>
        <v>459000</v>
      </c>
      <c r="V59" s="7" t="n">
        <f aca="false">IF(OR(Q59="",Q59=0,U59=""),"",U59/Q59)</f>
        <v>5.0384193194292</v>
      </c>
      <c r="W59" s="8" t="s">
        <v>376</v>
      </c>
      <c r="X59" s="9" t="s">
        <v>57</v>
      </c>
      <c r="Y59" s="10"/>
      <c r="Z59" s="4"/>
      <c r="AA59" s="11" t="n">
        <f aca="false">IF(X59&lt;&gt;"Published",COUNTIF($X$2:X59,"&lt;&gt;Published"),"")</f>
        <v>58</v>
      </c>
    </row>
    <row r="60" customFormat="false" ht="26.85" hidden="false" customHeight="false" outlineLevel="0" collapsed="false">
      <c r="A60" s="4" t="n">
        <v>59</v>
      </c>
      <c r="B60" s="4" t="n">
        <f aca="false">ROUNDUP(A60/3,0)</f>
        <v>20</v>
      </c>
      <c r="C60" s="4" t="s">
        <v>377</v>
      </c>
      <c r="D60" s="4" t="s">
        <v>264</v>
      </c>
      <c r="E60" s="4" t="n">
        <v>10</v>
      </c>
      <c r="F60" s="5" t="s">
        <v>378</v>
      </c>
      <c r="G60" s="5" t="s">
        <v>379</v>
      </c>
      <c r="H60" s="4" t="s">
        <v>50</v>
      </c>
      <c r="I60" s="4" t="s">
        <v>69</v>
      </c>
      <c r="J60" s="4" t="s">
        <v>366</v>
      </c>
      <c r="K60" s="4" t="s">
        <v>63</v>
      </c>
      <c r="L60" s="4" t="n">
        <v>34</v>
      </c>
      <c r="M60" s="4" t="n">
        <v>3</v>
      </c>
      <c r="N60" s="4" t="n">
        <v>1</v>
      </c>
      <c r="O60" s="5" t="s">
        <v>380</v>
      </c>
      <c r="P60" s="4" t="s">
        <v>381</v>
      </c>
      <c r="Q60" s="6" t="n">
        <v>27600</v>
      </c>
      <c r="R60" s="6" t="n">
        <v>74000</v>
      </c>
      <c r="S60" s="7" t="n">
        <f aca="false">IF(OR(Q60="",Q60=0,R60=""),"",R60/Q60)</f>
        <v>2.68115942028986</v>
      </c>
      <c r="T60" s="7" t="n">
        <v>9</v>
      </c>
      <c r="U60" s="6" t="n">
        <f aca="false">IF(OR(T60="",R60=""),"",R60/T60)</f>
        <v>8222.22222222222</v>
      </c>
      <c r="V60" s="7" t="n">
        <f aca="false">IF(OR(Q60="",Q60=0,U60=""),"",U60/Q60)</f>
        <v>0.297906602254428</v>
      </c>
      <c r="W60" s="8" t="s">
        <v>382</v>
      </c>
      <c r="X60" s="9" t="s">
        <v>57</v>
      </c>
      <c r="Y60" s="10"/>
      <c r="Z60" s="4"/>
      <c r="AA60" s="11" t="n">
        <f aca="false">IF(X60&lt;&gt;"Published",COUNTIF($X$2:X60,"&lt;&gt;Published"),"")</f>
        <v>59</v>
      </c>
    </row>
    <row r="61" customFormat="false" ht="26.85" hidden="false" customHeight="false" outlineLevel="0" collapsed="false">
      <c r="A61" s="4" t="n">
        <v>60</v>
      </c>
      <c r="B61" s="4" t="n">
        <f aca="false">ROUNDUP(A61/3,0)</f>
        <v>20</v>
      </c>
      <c r="C61" s="4" t="s">
        <v>383</v>
      </c>
      <c r="D61" s="4" t="s">
        <v>59</v>
      </c>
      <c r="E61" s="4" t="n">
        <v>23</v>
      </c>
      <c r="F61" s="5" t="s">
        <v>384</v>
      </c>
      <c r="G61" s="5" t="s">
        <v>385</v>
      </c>
      <c r="H61" s="4" t="s">
        <v>50</v>
      </c>
      <c r="I61" s="4" t="s">
        <v>159</v>
      </c>
      <c r="J61" s="4" t="s">
        <v>361</v>
      </c>
      <c r="K61" s="4" t="s">
        <v>63</v>
      </c>
      <c r="L61" s="4" t="n">
        <v>7</v>
      </c>
      <c r="M61" s="4" t="n">
        <v>2</v>
      </c>
      <c r="N61" s="4" t="n">
        <v>1</v>
      </c>
      <c r="O61" s="5" t="s">
        <v>364</v>
      </c>
      <c r="P61" s="4" t="s">
        <v>55</v>
      </c>
      <c r="Q61" s="6" t="n">
        <v>102000</v>
      </c>
      <c r="R61" s="6" t="n">
        <v>119000</v>
      </c>
      <c r="S61" s="7" t="n">
        <f aca="false">IF(OR(Q61="",Q61=0,R61=""),"",R61/Q61)</f>
        <v>1.16666666666667</v>
      </c>
      <c r="T61" s="7" t="n">
        <v>7</v>
      </c>
      <c r="U61" s="6" t="n">
        <f aca="false">IF(OR(T61="",R61=""),"",R61/T61)</f>
        <v>17000</v>
      </c>
      <c r="V61" s="7" t="n">
        <f aca="false">IF(OR(Q61="",Q61=0,U61=""),"",U61/Q61)</f>
        <v>0.166666666666667</v>
      </c>
      <c r="W61" s="8" t="s">
        <v>365</v>
      </c>
      <c r="X61" s="9" t="s">
        <v>57</v>
      </c>
      <c r="Y61" s="10"/>
      <c r="Z61" s="4"/>
      <c r="AA61" s="11" t="n">
        <f aca="false">IF(X61&lt;&gt;"Published",COUNTIF($X$2:X61,"&lt;&gt;Published"),"")</f>
        <v>60</v>
      </c>
    </row>
    <row r="62" customFormat="false" ht="26.85" hidden="false" customHeight="false" outlineLevel="0" collapsed="false">
      <c r="A62" s="4" t="n">
        <v>61</v>
      </c>
      <c r="B62" s="4" t="n">
        <f aca="false">ROUNDUP(A62/3,0)</f>
        <v>21</v>
      </c>
      <c r="C62" s="4" t="s">
        <v>386</v>
      </c>
      <c r="D62" s="4" t="s">
        <v>264</v>
      </c>
      <c r="E62" s="4" t="n">
        <v>11</v>
      </c>
      <c r="F62" s="5" t="s">
        <v>387</v>
      </c>
      <c r="G62" s="5" t="s">
        <v>388</v>
      </c>
      <c r="H62" s="4" t="s">
        <v>50</v>
      </c>
      <c r="I62" s="4" t="s">
        <v>159</v>
      </c>
      <c r="J62" s="4" t="s">
        <v>355</v>
      </c>
      <c r="K62" s="4" t="s">
        <v>53</v>
      </c>
      <c r="L62" s="4" t="n">
        <v>25</v>
      </c>
      <c r="M62" s="4" t="n">
        <v>3</v>
      </c>
      <c r="N62" s="4" t="n">
        <v>1</v>
      </c>
      <c r="O62" s="5" t="s">
        <v>389</v>
      </c>
      <c r="P62" s="4" t="s">
        <v>390</v>
      </c>
      <c r="Q62" s="6" t="n">
        <v>29900</v>
      </c>
      <c r="R62" s="6" t="n">
        <v>193000</v>
      </c>
      <c r="S62" s="7" t="n">
        <f aca="false">IF(OR(Q62="",Q62=0,R62=""),"",R62/Q62)</f>
        <v>6.45484949832776</v>
      </c>
      <c r="T62" s="7" t="n">
        <v>3</v>
      </c>
      <c r="U62" s="6" t="n">
        <f aca="false">IF(OR(T62="",R62=""),"",R62/T62)</f>
        <v>64333.3333333333</v>
      </c>
      <c r="V62" s="7" t="n">
        <f aca="false">IF(OR(Q62="",Q62=0,U62=""),"",U62/Q62)</f>
        <v>2.15161649944259</v>
      </c>
      <c r="W62" s="8" t="s">
        <v>391</v>
      </c>
      <c r="X62" s="9" t="s">
        <v>57</v>
      </c>
      <c r="Y62" s="10"/>
      <c r="Z62" s="4"/>
      <c r="AA62" s="11" t="n">
        <f aca="false">IF(X62&lt;&gt;"Published",COUNTIF($X$2:X62,"&lt;&gt;Published"),"")</f>
        <v>61</v>
      </c>
    </row>
    <row r="63" customFormat="false" ht="26.85" hidden="false" customHeight="false" outlineLevel="0" collapsed="false">
      <c r="A63" s="4" t="n">
        <v>62</v>
      </c>
      <c r="B63" s="4" t="n">
        <f aca="false">ROUNDUP(A63/3,0)</f>
        <v>21</v>
      </c>
      <c r="C63" s="4" t="s">
        <v>392</v>
      </c>
      <c r="D63" s="4" t="s">
        <v>47</v>
      </c>
      <c r="E63" s="4" t="n">
        <v>24</v>
      </c>
      <c r="F63" s="5" t="s">
        <v>393</v>
      </c>
      <c r="G63" s="5" t="s">
        <v>394</v>
      </c>
      <c r="H63" s="4" t="s">
        <v>50</v>
      </c>
      <c r="I63" s="4" t="s">
        <v>159</v>
      </c>
      <c r="J63" s="4" t="s">
        <v>349</v>
      </c>
      <c r="K63" s="4" t="s">
        <v>53</v>
      </c>
      <c r="L63" s="4" t="n">
        <v>49</v>
      </c>
      <c r="M63" s="4" t="n">
        <v>9</v>
      </c>
      <c r="N63" s="4" t="n">
        <v>4</v>
      </c>
      <c r="O63" s="5" t="s">
        <v>395</v>
      </c>
      <c r="P63" s="4" t="s">
        <v>396</v>
      </c>
      <c r="Q63" s="6" t="n">
        <v>139000</v>
      </c>
      <c r="R63" s="6" t="n">
        <v>1900000</v>
      </c>
      <c r="S63" s="7" t="n">
        <f aca="false">IF(OR(Q63="",Q63=0,R63=""),"",R63/Q63)</f>
        <v>13.6690647482014</v>
      </c>
      <c r="T63" s="7" t="n">
        <v>5</v>
      </c>
      <c r="U63" s="6" t="n">
        <f aca="false">IF(OR(T63="",R63=""),"",R63/T63)</f>
        <v>380000</v>
      </c>
      <c r="V63" s="7" t="n">
        <f aca="false">IF(OR(Q63="",Q63=0,U63=""),"",U63/Q63)</f>
        <v>2.73381294964029</v>
      </c>
      <c r="W63" s="8" t="s">
        <v>397</v>
      </c>
      <c r="X63" s="9" t="s">
        <v>57</v>
      </c>
      <c r="Y63" s="10"/>
      <c r="Z63" s="4"/>
      <c r="AA63" s="11" t="n">
        <f aca="false">IF(X63&lt;&gt;"Published",COUNTIF($X$2:X63,"&lt;&gt;Published"),"")</f>
        <v>62</v>
      </c>
    </row>
    <row r="64" customFormat="false" ht="26.85" hidden="false" customHeight="false" outlineLevel="0" collapsed="false">
      <c r="A64" s="4" t="n">
        <v>63</v>
      </c>
      <c r="B64" s="4" t="n">
        <f aca="false">ROUNDUP(A64/3,0)</f>
        <v>21</v>
      </c>
      <c r="C64" s="4" t="s">
        <v>398</v>
      </c>
      <c r="D64" s="4" t="s">
        <v>264</v>
      </c>
      <c r="E64" s="4" t="n">
        <v>12</v>
      </c>
      <c r="F64" s="5" t="s">
        <v>399</v>
      </c>
      <c r="G64" s="5" t="s">
        <v>400</v>
      </c>
      <c r="H64" s="4" t="s">
        <v>50</v>
      </c>
      <c r="I64" s="4" t="s">
        <v>69</v>
      </c>
      <c r="J64" s="4" t="s">
        <v>344</v>
      </c>
      <c r="K64" s="4" t="s">
        <v>84</v>
      </c>
      <c r="L64" s="4" t="n">
        <v>3</v>
      </c>
      <c r="M64" s="4" t="n">
        <v>0</v>
      </c>
      <c r="N64" s="4" t="n">
        <v>0</v>
      </c>
      <c r="O64" s="5" t="s">
        <v>401</v>
      </c>
      <c r="P64" s="4" t="s">
        <v>381</v>
      </c>
      <c r="Q64" s="6" t="n">
        <v>27600</v>
      </c>
      <c r="R64" s="6" t="n">
        <v>7700</v>
      </c>
      <c r="S64" s="7" t="n">
        <f aca="false">IF(OR(Q64="",Q64=0,R64=""),"",R64/Q64)</f>
        <v>0.278985507246377</v>
      </c>
      <c r="T64" s="7" t="n">
        <v>7</v>
      </c>
      <c r="U64" s="6" t="n">
        <f aca="false">IF(OR(T64="",R64=""),"",R64/T64)</f>
        <v>1100</v>
      </c>
      <c r="V64" s="7" t="n">
        <f aca="false">IF(OR(Q64="",Q64=0,U64=""),"",U64/Q64)</f>
        <v>0.0398550724637681</v>
      </c>
      <c r="W64" s="8" t="s">
        <v>402</v>
      </c>
      <c r="X64" s="9" t="s">
        <v>57</v>
      </c>
      <c r="Y64" s="10"/>
      <c r="Z64" s="4"/>
      <c r="AA64" s="11" t="n">
        <f aca="false">IF(X64&lt;&gt;"Published",COUNTIF($X$2:X64,"&lt;&gt;Published"),"")</f>
        <v>63</v>
      </c>
    </row>
    <row r="65" customFormat="false" ht="26.85" hidden="false" customHeight="false" outlineLevel="0" collapsed="false">
      <c r="A65" s="4" t="n">
        <v>64</v>
      </c>
      <c r="B65" s="4" t="n">
        <f aca="false">ROUNDUP(A65/3,0)</f>
        <v>22</v>
      </c>
      <c r="C65" s="4" t="s">
        <v>403</v>
      </c>
      <c r="D65" s="4" t="s">
        <v>59</v>
      </c>
      <c r="E65" s="4" t="n">
        <v>24</v>
      </c>
      <c r="F65" s="5" t="s">
        <v>404</v>
      </c>
      <c r="G65" s="5" t="s">
        <v>405</v>
      </c>
      <c r="H65" s="4" t="s">
        <v>50</v>
      </c>
      <c r="I65" s="4" t="s">
        <v>159</v>
      </c>
      <c r="J65" s="4" t="s">
        <v>383</v>
      </c>
      <c r="K65" s="4" t="s">
        <v>53</v>
      </c>
      <c r="L65" s="4" t="n">
        <v>6</v>
      </c>
      <c r="M65" s="4" t="n">
        <v>2</v>
      </c>
      <c r="N65" s="4" t="n">
        <v>1</v>
      </c>
      <c r="O65" s="5" t="s">
        <v>406</v>
      </c>
      <c r="P65" s="4" t="s">
        <v>407</v>
      </c>
      <c r="Q65" s="6" t="n">
        <v>121000</v>
      </c>
      <c r="R65" s="6" t="n">
        <v>3900000</v>
      </c>
      <c r="S65" s="7" t="n">
        <f aca="false">IF(OR(Q65="",Q65=0,R65=""),"",R65/Q65)</f>
        <v>32.2314049586777</v>
      </c>
      <c r="T65" s="7" t="n">
        <v>9</v>
      </c>
      <c r="U65" s="6" t="n">
        <f aca="false">IF(OR(T65="",R65=""),"",R65/T65)</f>
        <v>433333.333333333</v>
      </c>
      <c r="V65" s="7" t="n">
        <f aca="false">IF(OR(Q65="",Q65=0,U65=""),"",U65/Q65)</f>
        <v>3.58126721763085</v>
      </c>
      <c r="W65" s="8" t="s">
        <v>408</v>
      </c>
      <c r="X65" s="9" t="s">
        <v>57</v>
      </c>
      <c r="Y65" s="10"/>
      <c r="Z65" s="4"/>
      <c r="AA65" s="11" t="n">
        <f aca="false">IF(X65&lt;&gt;"Published",COUNTIF($X$2:X65,"&lt;&gt;Published"),"")</f>
        <v>64</v>
      </c>
    </row>
    <row r="66" customFormat="false" ht="39.55" hidden="false" customHeight="false" outlineLevel="0" collapsed="false">
      <c r="A66" s="4" t="n">
        <v>65</v>
      </c>
      <c r="B66" s="4" t="n">
        <f aca="false">ROUNDUP(A66/3,0)</f>
        <v>22</v>
      </c>
      <c r="C66" s="4" t="s">
        <v>409</v>
      </c>
      <c r="D66" s="4" t="s">
        <v>264</v>
      </c>
      <c r="E66" s="4" t="n">
        <v>13</v>
      </c>
      <c r="F66" s="5" t="s">
        <v>410</v>
      </c>
      <c r="G66" s="5" t="s">
        <v>411</v>
      </c>
      <c r="H66" s="4" t="s">
        <v>50</v>
      </c>
      <c r="I66" s="4" t="s">
        <v>159</v>
      </c>
      <c r="J66" s="4" t="s">
        <v>386</v>
      </c>
      <c r="K66" s="4" t="s">
        <v>53</v>
      </c>
      <c r="L66" s="4" t="n">
        <v>18</v>
      </c>
      <c r="M66" s="4" t="n">
        <v>2</v>
      </c>
      <c r="N66" s="4" t="n">
        <v>1</v>
      </c>
      <c r="O66" s="5" t="s">
        <v>412</v>
      </c>
      <c r="P66" s="4" t="s">
        <v>413</v>
      </c>
      <c r="Q66" s="6" t="n">
        <v>18000</v>
      </c>
      <c r="R66" s="6" t="n">
        <v>117000</v>
      </c>
      <c r="S66" s="7" t="n">
        <f aca="false">IF(OR(Q66="",Q66=0,R66=""),"",R66/Q66)</f>
        <v>6.5</v>
      </c>
      <c r="T66" s="7" t="n">
        <v>3</v>
      </c>
      <c r="U66" s="6" t="n">
        <f aca="false">IF(OR(T66="",R66=""),"",R66/T66)</f>
        <v>39000</v>
      </c>
      <c r="V66" s="7" t="n">
        <f aca="false">IF(OR(Q66="",Q66=0,U66=""),"",U66/Q66)</f>
        <v>2.16666666666667</v>
      </c>
      <c r="W66" s="8" t="s">
        <v>414</v>
      </c>
      <c r="X66" s="9" t="s">
        <v>57</v>
      </c>
      <c r="Y66" s="10"/>
      <c r="Z66" s="4"/>
      <c r="AA66" s="11" t="n">
        <f aca="false">IF(X66&lt;&gt;"Published",COUNTIF($X$2:X66,"&lt;&gt;Published"),"")</f>
        <v>65</v>
      </c>
    </row>
    <row r="67" customFormat="false" ht="26.85" hidden="false" customHeight="false" outlineLevel="0" collapsed="false">
      <c r="A67" s="4" t="n">
        <v>66</v>
      </c>
      <c r="B67" s="4" t="n">
        <f aca="false">ROUNDUP(A67/3,0)</f>
        <v>22</v>
      </c>
      <c r="C67" s="4" t="s">
        <v>415</v>
      </c>
      <c r="D67" s="4" t="s">
        <v>47</v>
      </c>
      <c r="E67" s="4" t="n">
        <v>25</v>
      </c>
      <c r="F67" s="5" t="s">
        <v>416</v>
      </c>
      <c r="G67" s="5" t="s">
        <v>417</v>
      </c>
      <c r="H67" s="4" t="s">
        <v>50</v>
      </c>
      <c r="I67" s="4" t="s">
        <v>159</v>
      </c>
      <c r="J67" s="4" t="s">
        <v>392</v>
      </c>
      <c r="K67" s="4" t="s">
        <v>63</v>
      </c>
      <c r="L67" s="4" t="n">
        <v>18</v>
      </c>
      <c r="M67" s="4" t="n">
        <v>0</v>
      </c>
      <c r="N67" s="4" t="n">
        <v>1</v>
      </c>
      <c r="O67" s="5" t="s">
        <v>418</v>
      </c>
      <c r="P67" s="4" t="s">
        <v>419</v>
      </c>
      <c r="Q67" s="6" t="n">
        <v>123000</v>
      </c>
      <c r="R67" s="6" t="n">
        <v>109000</v>
      </c>
      <c r="S67" s="7" t="n">
        <f aca="false">IF(OR(Q67="",Q67=0,R67=""),"",R67/Q67)</f>
        <v>0.886178861788618</v>
      </c>
      <c r="T67" s="7" t="n">
        <v>0.67</v>
      </c>
      <c r="U67" s="6" t="n">
        <f aca="false">IF(OR(T67="",R67=""),"",R67/T67)</f>
        <v>162686.567164179</v>
      </c>
      <c r="V67" s="7" t="n">
        <f aca="false">IF(OR(Q67="",Q67=0,U67=""),"",U67/Q67)</f>
        <v>1.32265501759495</v>
      </c>
      <c r="W67" s="8" t="s">
        <v>420</v>
      </c>
      <c r="X67" s="9" t="s">
        <v>57</v>
      </c>
      <c r="Y67" s="10"/>
      <c r="Z67" s="4"/>
      <c r="AA67" s="11" t="n">
        <f aca="false">IF(X67&lt;&gt;"Published",COUNTIF($X$2:X67,"&lt;&gt;Published"),"")</f>
        <v>66</v>
      </c>
    </row>
    <row r="68" customFormat="false" ht="26.85" hidden="false" customHeight="false" outlineLevel="0" collapsed="false">
      <c r="A68" s="4" t="n">
        <v>67</v>
      </c>
      <c r="B68" s="4" t="n">
        <f aca="false">ROUNDUP(A68/3,0)</f>
        <v>23</v>
      </c>
      <c r="C68" s="4" t="s">
        <v>421</v>
      </c>
      <c r="D68" s="4" t="s">
        <v>264</v>
      </c>
      <c r="E68" s="4" t="n">
        <v>14</v>
      </c>
      <c r="F68" s="5" t="s">
        <v>422</v>
      </c>
      <c r="G68" s="5" t="s">
        <v>423</v>
      </c>
      <c r="H68" s="4" t="s">
        <v>50</v>
      </c>
      <c r="I68" s="4" t="s">
        <v>159</v>
      </c>
      <c r="J68" s="4" t="s">
        <v>275</v>
      </c>
      <c r="K68" s="4" t="s">
        <v>53</v>
      </c>
      <c r="L68" s="4" t="n">
        <v>49</v>
      </c>
      <c r="M68" s="4" t="n">
        <v>9</v>
      </c>
      <c r="N68" s="4" t="n">
        <v>4</v>
      </c>
      <c r="O68" s="5" t="s">
        <v>395</v>
      </c>
      <c r="P68" s="4" t="s">
        <v>396</v>
      </c>
      <c r="Q68" s="6" t="n">
        <v>139000</v>
      </c>
      <c r="R68" s="6" t="n">
        <v>1900000</v>
      </c>
      <c r="S68" s="7" t="n">
        <f aca="false">IF(OR(Q68="",Q68=0,R68=""),"",R68/Q68)</f>
        <v>13.6690647482014</v>
      </c>
      <c r="T68" s="7" t="n">
        <v>5</v>
      </c>
      <c r="U68" s="6" t="n">
        <f aca="false">IF(OR(T68="",R68=""),"",R68/T68)</f>
        <v>380000</v>
      </c>
      <c r="V68" s="7" t="n">
        <f aca="false">IF(OR(Q68="",Q68=0,U68=""),"",U68/Q68)</f>
        <v>2.73381294964029</v>
      </c>
      <c r="W68" s="8" t="s">
        <v>397</v>
      </c>
      <c r="X68" s="9" t="s">
        <v>57</v>
      </c>
      <c r="Y68" s="10"/>
      <c r="Z68" s="4"/>
      <c r="AA68" s="11" t="n">
        <f aca="false">IF(X68&lt;&gt;"Published",COUNTIF($X$2:X68,"&lt;&gt;Published"),"")</f>
        <v>67</v>
      </c>
    </row>
    <row r="69" customFormat="false" ht="26.85" hidden="false" customHeight="false" outlineLevel="0" collapsed="false">
      <c r="A69" s="4" t="n">
        <v>68</v>
      </c>
      <c r="B69" s="4" t="n">
        <f aca="false">ROUNDUP(A69/3,0)</f>
        <v>23</v>
      </c>
      <c r="C69" s="4" t="s">
        <v>424</v>
      </c>
      <c r="D69" s="4" t="s">
        <v>59</v>
      </c>
      <c r="E69" s="4" t="n">
        <v>25</v>
      </c>
      <c r="F69" s="5" t="s">
        <v>425</v>
      </c>
      <c r="G69" s="5" t="s">
        <v>426</v>
      </c>
      <c r="H69" s="4" t="s">
        <v>50</v>
      </c>
      <c r="I69" s="4" t="s">
        <v>69</v>
      </c>
      <c r="J69" s="4" t="s">
        <v>178</v>
      </c>
      <c r="K69" s="4" t="s">
        <v>63</v>
      </c>
      <c r="L69" s="4" t="n">
        <v>30</v>
      </c>
      <c r="M69" s="4" t="n">
        <v>1</v>
      </c>
      <c r="N69" s="4" t="n">
        <v>0</v>
      </c>
      <c r="O69" s="5" t="s">
        <v>427</v>
      </c>
      <c r="P69" s="4" t="s">
        <v>182</v>
      </c>
      <c r="Q69" s="6" t="n">
        <v>105000</v>
      </c>
      <c r="R69" s="6" t="n">
        <v>203000</v>
      </c>
      <c r="S69" s="7" t="n">
        <f aca="false">IF(OR(Q69="",Q69=0,R69=""),"",R69/Q69)</f>
        <v>1.93333333333333</v>
      </c>
      <c r="T69" s="7" t="n">
        <v>10</v>
      </c>
      <c r="U69" s="6" t="n">
        <f aca="false">IF(OR(T69="",R69=""),"",R69/T69)</f>
        <v>20300</v>
      </c>
      <c r="V69" s="7" t="n">
        <f aca="false">IF(OR(Q69="",Q69=0,U69=""),"",U69/Q69)</f>
        <v>0.193333333333333</v>
      </c>
      <c r="W69" s="8" t="s">
        <v>428</v>
      </c>
      <c r="X69" s="9" t="s">
        <v>57</v>
      </c>
      <c r="Y69" s="10"/>
      <c r="Z69" s="4"/>
      <c r="AA69" s="11" t="n">
        <f aca="false">IF(X69&lt;&gt;"Published",COUNTIF($X$2:X69,"&lt;&gt;Published"),"")</f>
        <v>68</v>
      </c>
    </row>
    <row r="70" customFormat="false" ht="26.85" hidden="false" customHeight="false" outlineLevel="0" collapsed="false">
      <c r="A70" s="4" t="n">
        <v>69</v>
      </c>
      <c r="B70" s="4" t="n">
        <f aca="false">ROUNDUP(A70/3,0)</f>
        <v>23</v>
      </c>
      <c r="C70" s="4" t="s">
        <v>429</v>
      </c>
      <c r="D70" s="4" t="s">
        <v>264</v>
      </c>
      <c r="E70" s="4" t="n">
        <v>15</v>
      </c>
      <c r="F70" s="5" t="s">
        <v>430</v>
      </c>
      <c r="G70" s="5" t="s">
        <v>431</v>
      </c>
      <c r="H70" s="4" t="s">
        <v>50</v>
      </c>
      <c r="I70" s="4" t="s">
        <v>69</v>
      </c>
      <c r="J70" s="4" t="s">
        <v>398</v>
      </c>
      <c r="K70" s="4" t="s">
        <v>53</v>
      </c>
      <c r="L70" s="4" t="n">
        <v>35</v>
      </c>
      <c r="M70" s="4" t="n">
        <v>7</v>
      </c>
      <c r="N70" s="4" t="n">
        <v>3</v>
      </c>
      <c r="O70" s="5" t="s">
        <v>432</v>
      </c>
      <c r="P70" s="4" t="s">
        <v>433</v>
      </c>
      <c r="Q70" s="6" t="n">
        <v>21000</v>
      </c>
      <c r="R70" s="6" t="n">
        <v>464000</v>
      </c>
      <c r="S70" s="7" t="n">
        <f aca="false">IF(OR(Q70="",Q70=0,R70=""),"",R70/Q70)</f>
        <v>22.0952380952381</v>
      </c>
      <c r="T70" s="7" t="n">
        <v>3</v>
      </c>
      <c r="U70" s="6" t="n">
        <f aca="false">IF(OR(T70="",R70=""),"",R70/T70)</f>
        <v>154666.666666667</v>
      </c>
      <c r="V70" s="7" t="n">
        <f aca="false">IF(OR(Q70="",Q70=0,U70=""),"",U70/Q70)</f>
        <v>7.36507936507937</v>
      </c>
      <c r="W70" s="8" t="s">
        <v>434</v>
      </c>
      <c r="X70" s="9" t="s">
        <v>57</v>
      </c>
      <c r="Y70" s="10"/>
      <c r="Z70" s="4"/>
      <c r="AA70" s="11" t="n">
        <f aca="false">IF(X70&lt;&gt;"Published",COUNTIF($X$2:X70,"&lt;&gt;Published"),"")</f>
        <v>69</v>
      </c>
    </row>
    <row r="71" customFormat="false" ht="26.85" hidden="false" customHeight="false" outlineLevel="0" collapsed="false">
      <c r="A71" s="4" t="n">
        <v>70</v>
      </c>
      <c r="B71" s="4" t="n">
        <f aca="false">ROUNDUP(A71/3,0)</f>
        <v>24</v>
      </c>
      <c r="C71" s="4" t="s">
        <v>435</v>
      </c>
      <c r="D71" s="4" t="s">
        <v>47</v>
      </c>
      <c r="E71" s="4" t="n">
        <v>26</v>
      </c>
      <c r="F71" s="5" t="s">
        <v>436</v>
      </c>
      <c r="G71" s="5" t="s">
        <v>437</v>
      </c>
      <c r="H71" s="4" t="s">
        <v>50</v>
      </c>
      <c r="I71" s="4" t="s">
        <v>69</v>
      </c>
      <c r="J71" s="4" t="s">
        <v>328</v>
      </c>
      <c r="K71" s="4" t="s">
        <v>84</v>
      </c>
      <c r="L71" s="4" t="n">
        <v>5</v>
      </c>
      <c r="M71" s="4" t="n">
        <v>0</v>
      </c>
      <c r="N71" s="4" t="n">
        <v>0</v>
      </c>
      <c r="O71" s="5" t="s">
        <v>438</v>
      </c>
      <c r="P71" s="4" t="s">
        <v>439</v>
      </c>
      <c r="Q71" s="6" t="n">
        <v>49500</v>
      </c>
      <c r="R71" s="6" t="n">
        <v>3800</v>
      </c>
      <c r="S71" s="7" t="n">
        <f aca="false">IF(OR(Q71="",Q71=0,R71=""),"",R71/Q71)</f>
        <v>0.0767676767676768</v>
      </c>
      <c r="T71" s="7" t="n">
        <v>3</v>
      </c>
      <c r="U71" s="6" t="n">
        <f aca="false">IF(OR(T71="",R71=""),"",R71/T71)</f>
        <v>1266.66666666667</v>
      </c>
      <c r="V71" s="7" t="n">
        <f aca="false">IF(OR(Q71="",Q71=0,U71=""),"",U71/Q71)</f>
        <v>0.0255892255892256</v>
      </c>
      <c r="W71" s="8" t="s">
        <v>440</v>
      </c>
      <c r="X71" s="9" t="s">
        <v>57</v>
      </c>
      <c r="Y71" s="10"/>
      <c r="Z71" s="4"/>
      <c r="AA71" s="11" t="n">
        <f aca="false">IF(X71&lt;&gt;"Published",COUNTIF($X$2:X71,"&lt;&gt;Published"),"")</f>
        <v>70</v>
      </c>
    </row>
    <row r="72" customFormat="false" ht="26.85" hidden="false" customHeight="false" outlineLevel="0" collapsed="false">
      <c r="A72" s="4" t="n">
        <v>71</v>
      </c>
      <c r="B72" s="4" t="n">
        <f aca="false">ROUNDUP(A72/3,0)</f>
        <v>24</v>
      </c>
      <c r="C72" s="4" t="s">
        <v>441</v>
      </c>
      <c r="D72" s="4" t="s">
        <v>264</v>
      </c>
      <c r="E72" s="4" t="n">
        <v>16</v>
      </c>
      <c r="F72" s="5" t="s">
        <v>442</v>
      </c>
      <c r="G72" s="5" t="s">
        <v>443</v>
      </c>
      <c r="H72" s="4" t="s">
        <v>50</v>
      </c>
      <c r="I72" s="4" t="s">
        <v>51</v>
      </c>
      <c r="J72" s="4" t="s">
        <v>52</v>
      </c>
      <c r="K72" s="4" t="s">
        <v>63</v>
      </c>
      <c r="L72" s="4" t="n">
        <v>58</v>
      </c>
      <c r="M72" s="4" t="n">
        <v>6</v>
      </c>
      <c r="N72" s="4" t="n">
        <v>1</v>
      </c>
      <c r="O72" s="5" t="s">
        <v>444</v>
      </c>
      <c r="P72" s="4" t="s">
        <v>336</v>
      </c>
      <c r="Q72" s="6" t="n">
        <v>128000</v>
      </c>
      <c r="R72" s="6" t="n">
        <v>1800000</v>
      </c>
      <c r="S72" s="7" t="n">
        <f aca="false">IF(OR(Q72="",Q72=0,R72=""),"",R72/Q72)</f>
        <v>14.0625</v>
      </c>
      <c r="T72" s="7" t="n">
        <v>14</v>
      </c>
      <c r="U72" s="6" t="n">
        <f aca="false">IF(OR(T72="",R72=""),"",R72/T72)</f>
        <v>128571.428571429</v>
      </c>
      <c r="V72" s="7" t="n">
        <f aca="false">IF(OR(Q72="",Q72=0,U72=""),"",U72/Q72)</f>
        <v>1.00446428571429</v>
      </c>
      <c r="W72" s="8" t="s">
        <v>445</v>
      </c>
      <c r="X72" s="9" t="s">
        <v>57</v>
      </c>
      <c r="Y72" s="10"/>
      <c r="Z72" s="4"/>
      <c r="AA72" s="11" t="n">
        <f aca="false">IF(X72&lt;&gt;"Published",COUNTIF($X$2:X72,"&lt;&gt;Published"),"")</f>
        <v>71</v>
      </c>
    </row>
    <row r="73" customFormat="false" ht="26.85" hidden="false" customHeight="false" outlineLevel="0" collapsed="false">
      <c r="A73" s="4" t="n">
        <v>72</v>
      </c>
      <c r="B73" s="4" t="n">
        <f aca="false">ROUNDUP(A73/3,0)</f>
        <v>24</v>
      </c>
      <c r="C73" s="4" t="s">
        <v>446</v>
      </c>
      <c r="D73" s="4" t="s">
        <v>59</v>
      </c>
      <c r="E73" s="4" t="n">
        <v>26</v>
      </c>
      <c r="F73" s="5" t="s">
        <v>447</v>
      </c>
      <c r="G73" s="5" t="s">
        <v>448</v>
      </c>
      <c r="H73" s="4" t="s">
        <v>50</v>
      </c>
      <c r="I73" s="4" t="s">
        <v>449</v>
      </c>
      <c r="J73" s="4" t="s">
        <v>450</v>
      </c>
      <c r="K73" s="4" t="s">
        <v>53</v>
      </c>
      <c r="L73" s="4" t="n">
        <v>29</v>
      </c>
      <c r="M73" s="4" t="n">
        <v>6</v>
      </c>
      <c r="N73" s="4" t="n">
        <v>0</v>
      </c>
      <c r="O73" s="5" t="s">
        <v>451</v>
      </c>
      <c r="P73" s="4" t="s">
        <v>123</v>
      </c>
      <c r="Q73" s="6" t="n">
        <v>7140</v>
      </c>
      <c r="R73" s="6" t="n">
        <v>31000</v>
      </c>
      <c r="S73" s="7" t="n">
        <f aca="false">IF(OR(Q73="",Q73=0,R73=""),"",R73/Q73)</f>
        <v>4.34173669467787</v>
      </c>
      <c r="T73" s="7" t="n">
        <v>0.25</v>
      </c>
      <c r="U73" s="6" t="n">
        <f aca="false">IF(OR(T73="",R73=""),"",R73/T73)</f>
        <v>124000</v>
      </c>
      <c r="V73" s="7" t="n">
        <f aca="false">IF(OR(Q73="",Q73=0,U73=""),"",U73/Q73)</f>
        <v>17.3669467787115</v>
      </c>
      <c r="W73" s="8" t="s">
        <v>452</v>
      </c>
      <c r="X73" s="9" t="s">
        <v>57</v>
      </c>
      <c r="Y73" s="10"/>
      <c r="Z73" s="4"/>
      <c r="AA73" s="11" t="n">
        <f aca="false">IF(X73&lt;&gt;"Published",COUNTIF($X$2:X73,"&lt;&gt;Published"),"")</f>
        <v>72</v>
      </c>
    </row>
    <row r="74" customFormat="false" ht="26.85" hidden="false" customHeight="false" outlineLevel="0" collapsed="false">
      <c r="A74" s="4" t="n">
        <v>73</v>
      </c>
      <c r="B74" s="4" t="n">
        <f aca="false">ROUNDUP(A74/3,0)</f>
        <v>25</v>
      </c>
      <c r="C74" s="4" t="s">
        <v>453</v>
      </c>
      <c r="D74" s="4" t="s">
        <v>294</v>
      </c>
      <c r="E74" s="4" t="n">
        <v>2</v>
      </c>
      <c r="F74" s="5" t="s">
        <v>454</v>
      </c>
      <c r="G74" s="5" t="s">
        <v>455</v>
      </c>
      <c r="H74" s="4" t="s">
        <v>297</v>
      </c>
      <c r="I74" s="4" t="s">
        <v>298</v>
      </c>
      <c r="J74" s="4" t="s">
        <v>446</v>
      </c>
      <c r="K74" s="4" t="s">
        <v>53</v>
      </c>
      <c r="L74" s="4" t="n">
        <v>113</v>
      </c>
      <c r="M74" s="4" t="n">
        <v>21</v>
      </c>
      <c r="N74" s="4" t="n">
        <v>4</v>
      </c>
      <c r="O74" s="5" t="s">
        <v>456</v>
      </c>
      <c r="P74" s="4" t="s">
        <v>457</v>
      </c>
      <c r="Q74" s="6" t="n">
        <v>130000</v>
      </c>
      <c r="R74" s="6" t="n">
        <v>1200000</v>
      </c>
      <c r="S74" s="7" t="n">
        <f aca="false">IF(OR(Q74="",Q74=0,R74=""),"",R74/Q74)</f>
        <v>9.23076923076923</v>
      </c>
      <c r="T74" s="7" t="n">
        <v>0.25</v>
      </c>
      <c r="U74" s="6" t="n">
        <f aca="false">IF(OR(T74="",R74=""),"",R74/T74)</f>
        <v>4800000</v>
      </c>
      <c r="V74" s="7" t="n">
        <f aca="false">IF(OR(Q74="",Q74=0,U74=""),"",U74/Q74)</f>
        <v>36.9230769230769</v>
      </c>
      <c r="W74" s="8" t="s">
        <v>458</v>
      </c>
      <c r="X74" s="9" t="s">
        <v>57</v>
      </c>
      <c r="Y74" s="10"/>
      <c r="Z74" s="4"/>
      <c r="AA74" s="11" t="n">
        <f aca="false">IF(X74&lt;&gt;"Published",COUNTIF($X$2:X74,"&lt;&gt;Published"),"")</f>
        <v>73</v>
      </c>
    </row>
    <row r="75" customFormat="false" ht="26.85" hidden="false" customHeight="false" outlineLevel="0" collapsed="false">
      <c r="A75" s="4" t="n">
        <v>74</v>
      </c>
      <c r="B75" s="4" t="n">
        <f aca="false">ROUNDUP(A75/3,0)</f>
        <v>25</v>
      </c>
      <c r="C75" s="4" t="s">
        <v>459</v>
      </c>
      <c r="D75" s="4" t="s">
        <v>264</v>
      </c>
      <c r="E75" s="4" t="n">
        <v>17</v>
      </c>
      <c r="F75" s="5" t="s">
        <v>460</v>
      </c>
      <c r="G75" s="5" t="s">
        <v>461</v>
      </c>
      <c r="H75" s="4" t="s">
        <v>50</v>
      </c>
      <c r="I75" s="4" t="s">
        <v>51</v>
      </c>
      <c r="J75" s="4" t="s">
        <v>52</v>
      </c>
      <c r="K75" s="4" t="s">
        <v>63</v>
      </c>
      <c r="L75" s="4" t="n">
        <v>8</v>
      </c>
      <c r="M75" s="4" t="n">
        <v>1</v>
      </c>
      <c r="N75" s="4" t="n">
        <v>1</v>
      </c>
      <c r="O75" s="5" t="s">
        <v>462</v>
      </c>
      <c r="P75" s="4" t="s">
        <v>336</v>
      </c>
      <c r="Q75" s="6" t="n">
        <v>128000</v>
      </c>
      <c r="R75" s="6" t="n">
        <v>2100000</v>
      </c>
      <c r="S75" s="7" t="n">
        <f aca="false">IF(OR(Q75="",Q75=0,R75=""),"",R75/Q75)</f>
        <v>16.40625</v>
      </c>
      <c r="T75" s="7" t="n">
        <v>14</v>
      </c>
      <c r="U75" s="6" t="n">
        <f aca="false">IF(OR(T75="",R75=""),"",R75/T75)</f>
        <v>150000</v>
      </c>
      <c r="V75" s="7" t="n">
        <f aca="false">IF(OR(Q75="",Q75=0,U75=""),"",U75/Q75)</f>
        <v>1.171875</v>
      </c>
      <c r="W75" s="8" t="s">
        <v>463</v>
      </c>
      <c r="X75" s="9" t="s">
        <v>57</v>
      </c>
      <c r="Y75" s="10"/>
      <c r="Z75" s="4"/>
      <c r="AA75" s="11" t="n">
        <f aca="false">IF(X75&lt;&gt;"Published",COUNTIF($X$2:X75,"&lt;&gt;Published"),"")</f>
        <v>74</v>
      </c>
    </row>
    <row r="76" customFormat="false" ht="26.85" hidden="false" customHeight="false" outlineLevel="0" collapsed="false">
      <c r="A76" s="4" t="n">
        <v>75</v>
      </c>
      <c r="B76" s="4" t="n">
        <f aca="false">ROUNDUP(A76/3,0)</f>
        <v>25</v>
      </c>
      <c r="C76" s="4" t="s">
        <v>464</v>
      </c>
      <c r="D76" s="4" t="s">
        <v>47</v>
      </c>
      <c r="E76" s="4" t="n">
        <v>27</v>
      </c>
      <c r="F76" s="5" t="s">
        <v>465</v>
      </c>
      <c r="G76" s="5" t="s">
        <v>466</v>
      </c>
      <c r="H76" s="4" t="s">
        <v>50</v>
      </c>
      <c r="I76" s="4" t="s">
        <v>159</v>
      </c>
      <c r="J76" s="4" t="s">
        <v>349</v>
      </c>
      <c r="K76" s="4" t="s">
        <v>63</v>
      </c>
      <c r="L76" s="4" t="n">
        <v>38</v>
      </c>
      <c r="M76" s="4" t="n">
        <v>1</v>
      </c>
      <c r="N76" s="4" t="n">
        <v>0</v>
      </c>
      <c r="O76" s="5" t="s">
        <v>467</v>
      </c>
      <c r="P76" s="4" t="s">
        <v>468</v>
      </c>
      <c r="Q76" s="6" t="n">
        <v>51500</v>
      </c>
      <c r="R76" s="6" t="n">
        <v>172000</v>
      </c>
      <c r="S76" s="7" t="n">
        <f aca="false">IF(OR(Q76="",Q76=0,R76=""),"",R76/Q76)</f>
        <v>3.33980582524272</v>
      </c>
      <c r="T76" s="7" t="n">
        <v>4</v>
      </c>
      <c r="U76" s="6" t="n">
        <f aca="false">IF(OR(T76="",R76=""),"",R76/T76)</f>
        <v>43000</v>
      </c>
      <c r="V76" s="7" t="n">
        <f aca="false">IF(OR(Q76="",Q76=0,U76=""),"",U76/Q76)</f>
        <v>0.83495145631068</v>
      </c>
      <c r="W76" s="8" t="s">
        <v>469</v>
      </c>
      <c r="X76" s="9" t="s">
        <v>57</v>
      </c>
      <c r="Y76" s="10"/>
      <c r="Z76" s="4"/>
      <c r="AA76" s="11" t="n">
        <f aca="false">IF(X76&lt;&gt;"Published",COUNTIF($X$2:X76,"&lt;&gt;Published"),"")</f>
        <v>75</v>
      </c>
    </row>
    <row r="77" customFormat="false" ht="26.85" hidden="false" customHeight="false" outlineLevel="0" collapsed="false">
      <c r="A77" s="4" t="n">
        <v>76</v>
      </c>
      <c r="B77" s="4" t="n">
        <f aca="false">ROUNDUP(A77/3,0)</f>
        <v>26</v>
      </c>
      <c r="C77" s="4" t="s">
        <v>470</v>
      </c>
      <c r="D77" s="4" t="s">
        <v>264</v>
      </c>
      <c r="E77" s="4" t="n">
        <v>18</v>
      </c>
      <c r="F77" s="5" t="s">
        <v>471</v>
      </c>
      <c r="G77" s="5" t="s">
        <v>472</v>
      </c>
      <c r="H77" s="4" t="s">
        <v>50</v>
      </c>
      <c r="I77" s="4" t="s">
        <v>159</v>
      </c>
      <c r="J77" s="4" t="s">
        <v>409</v>
      </c>
      <c r="K77" s="4" t="s">
        <v>84</v>
      </c>
      <c r="L77" s="4" t="n">
        <v>16</v>
      </c>
      <c r="M77" s="4" t="n">
        <v>0</v>
      </c>
      <c r="N77" s="4" t="n">
        <v>0</v>
      </c>
      <c r="O77" s="5" t="s">
        <v>473</v>
      </c>
      <c r="P77" s="4" t="s">
        <v>474</v>
      </c>
      <c r="Q77" s="6" t="n">
        <v>36000</v>
      </c>
      <c r="R77" s="6" t="n">
        <v>12000</v>
      </c>
      <c r="S77" s="7" t="n">
        <f aca="false">IF(OR(Q77="",Q77=0,R77=""),"",R77/Q77)</f>
        <v>0.333333333333333</v>
      </c>
      <c r="T77" s="7" t="n">
        <v>5</v>
      </c>
      <c r="U77" s="6" t="n">
        <f aca="false">IF(OR(T77="",R77=""),"",R77/T77)</f>
        <v>2400</v>
      </c>
      <c r="V77" s="7" t="n">
        <f aca="false">IF(OR(Q77="",Q77=0,U77=""),"",U77/Q77)</f>
        <v>0.0666666666666667</v>
      </c>
      <c r="W77" s="8" t="s">
        <v>475</v>
      </c>
      <c r="X77" s="9" t="s">
        <v>57</v>
      </c>
      <c r="Y77" s="10"/>
      <c r="Z77" s="4"/>
      <c r="AA77" s="11" t="n">
        <f aca="false">IF(X77&lt;&gt;"Published",COUNTIF($X$2:X77,"&lt;&gt;Published"),"")</f>
        <v>76</v>
      </c>
    </row>
    <row r="78" customFormat="false" ht="26.85" hidden="false" customHeight="false" outlineLevel="0" collapsed="false">
      <c r="A78" s="4" t="n">
        <v>77</v>
      </c>
      <c r="B78" s="4" t="n">
        <f aca="false">ROUNDUP(A78/3,0)</f>
        <v>26</v>
      </c>
      <c r="C78" s="4" t="s">
        <v>476</v>
      </c>
      <c r="D78" s="4" t="s">
        <v>59</v>
      </c>
      <c r="E78" s="4" t="n">
        <v>27</v>
      </c>
      <c r="F78" s="5" t="s">
        <v>477</v>
      </c>
      <c r="G78" s="5" t="s">
        <v>478</v>
      </c>
      <c r="H78" s="4" t="s">
        <v>50</v>
      </c>
      <c r="I78" s="4" t="s">
        <v>449</v>
      </c>
      <c r="J78" s="4" t="s">
        <v>446</v>
      </c>
      <c r="K78" s="4" t="s">
        <v>63</v>
      </c>
      <c r="L78" s="4" t="n">
        <v>17</v>
      </c>
      <c r="M78" s="4" t="n">
        <v>3</v>
      </c>
      <c r="N78" s="4" t="n">
        <v>0</v>
      </c>
      <c r="O78" s="5" t="s">
        <v>479</v>
      </c>
      <c r="P78" s="4" t="s">
        <v>65</v>
      </c>
      <c r="Q78" s="6" t="n">
        <v>43100</v>
      </c>
      <c r="R78" s="6" t="n">
        <v>346000</v>
      </c>
      <c r="S78" s="7" t="n">
        <f aca="false">IF(OR(Q78="",Q78=0,R78=""),"",R78/Q78)</f>
        <v>8.02784222737819</v>
      </c>
      <c r="T78" s="7" t="n">
        <v>14</v>
      </c>
      <c r="U78" s="6" t="n">
        <f aca="false">IF(OR(T78="",R78=""),"",R78/T78)</f>
        <v>24714.2857142857</v>
      </c>
      <c r="V78" s="7" t="n">
        <f aca="false">IF(OR(Q78="",Q78=0,U78=""),"",U78/Q78)</f>
        <v>0.573417301955585</v>
      </c>
      <c r="W78" s="8" t="s">
        <v>480</v>
      </c>
      <c r="X78" s="9" t="s">
        <v>57</v>
      </c>
      <c r="Y78" s="10"/>
      <c r="Z78" s="4"/>
      <c r="AA78" s="11" t="n">
        <f aca="false">IF(X78&lt;&gt;"Published",COUNTIF($X$2:X78,"&lt;&gt;Published"),"")</f>
        <v>77</v>
      </c>
    </row>
    <row r="79" customFormat="false" ht="26.85" hidden="false" customHeight="false" outlineLevel="0" collapsed="false">
      <c r="A79" s="4" t="n">
        <v>78</v>
      </c>
      <c r="B79" s="4" t="n">
        <f aca="false">ROUNDUP(A79/3,0)</f>
        <v>26</v>
      </c>
      <c r="C79" s="4" t="s">
        <v>481</v>
      </c>
      <c r="D79" s="4" t="s">
        <v>264</v>
      </c>
      <c r="E79" s="4" t="n">
        <v>19</v>
      </c>
      <c r="F79" s="5" t="s">
        <v>482</v>
      </c>
      <c r="G79" s="5" t="s">
        <v>483</v>
      </c>
      <c r="H79" s="4" t="s">
        <v>50</v>
      </c>
      <c r="I79" s="4" t="s">
        <v>69</v>
      </c>
      <c r="J79" s="4" t="s">
        <v>470</v>
      </c>
      <c r="K79" s="4" t="s">
        <v>63</v>
      </c>
      <c r="L79" s="4" t="n">
        <v>70</v>
      </c>
      <c r="M79" s="4" t="n">
        <v>4</v>
      </c>
      <c r="N79" s="4" t="n">
        <v>1</v>
      </c>
      <c r="O79" s="5" t="s">
        <v>484</v>
      </c>
      <c r="P79" s="4" t="s">
        <v>336</v>
      </c>
      <c r="Q79" s="6" t="n">
        <v>128000</v>
      </c>
      <c r="R79" s="6" t="n">
        <v>2000000</v>
      </c>
      <c r="S79" s="7" t="n">
        <f aca="false">IF(OR(Q79="",Q79=0,R79=""),"",R79/Q79)</f>
        <v>15.625</v>
      </c>
      <c r="T79" s="7" t="n">
        <v>13</v>
      </c>
      <c r="U79" s="6" t="n">
        <f aca="false">IF(OR(T79="",R79=""),"",R79/T79)</f>
        <v>153846.153846154</v>
      </c>
      <c r="V79" s="7" t="n">
        <f aca="false">IF(OR(Q79="",Q79=0,U79=""),"",U79/Q79)</f>
        <v>1.20192307692308</v>
      </c>
      <c r="W79" s="8" t="s">
        <v>485</v>
      </c>
      <c r="X79" s="9" t="s">
        <v>57</v>
      </c>
      <c r="Y79" s="10"/>
      <c r="Z79" s="4"/>
      <c r="AA79" s="11" t="n">
        <f aca="false">IF(X79&lt;&gt;"Published",COUNTIF($X$2:X79,"&lt;&gt;Published"),"")</f>
        <v>78</v>
      </c>
    </row>
    <row r="80" customFormat="false" ht="26.85" hidden="false" customHeight="false" outlineLevel="0" collapsed="false">
      <c r="A80" s="4" t="n">
        <v>79</v>
      </c>
      <c r="B80" s="4" t="n">
        <f aca="false">ROUNDUP(A80/3,0)</f>
        <v>27</v>
      </c>
      <c r="C80" s="4" t="s">
        <v>486</v>
      </c>
      <c r="D80" s="4" t="s">
        <v>47</v>
      </c>
      <c r="E80" s="4" t="n">
        <v>28</v>
      </c>
      <c r="F80" s="5" t="s">
        <v>487</v>
      </c>
      <c r="G80" s="5" t="s">
        <v>488</v>
      </c>
      <c r="H80" s="4" t="s">
        <v>50</v>
      </c>
      <c r="I80" s="4" t="s">
        <v>449</v>
      </c>
      <c r="J80" s="4" t="s">
        <v>464</v>
      </c>
      <c r="K80" s="4" t="s">
        <v>53</v>
      </c>
      <c r="L80" s="4" t="n">
        <v>13</v>
      </c>
      <c r="M80" s="4" t="n">
        <v>4</v>
      </c>
      <c r="N80" s="4" t="n">
        <v>2</v>
      </c>
      <c r="O80" s="5" t="s">
        <v>489</v>
      </c>
      <c r="P80" s="4" t="s">
        <v>490</v>
      </c>
      <c r="Q80" s="6" t="n">
        <v>2220</v>
      </c>
      <c r="R80" s="6" t="n">
        <v>165000</v>
      </c>
      <c r="S80" s="7" t="n">
        <f aca="false">IF(OR(Q80="",Q80=0,R80=""),"",R80/Q80)</f>
        <v>74.3243243243243</v>
      </c>
      <c r="T80" s="7" t="n">
        <v>5</v>
      </c>
      <c r="U80" s="6" t="n">
        <f aca="false">IF(OR(T80="",R80=""),"",R80/T80)</f>
        <v>33000</v>
      </c>
      <c r="V80" s="7" t="n">
        <f aca="false">IF(OR(Q80="",Q80=0,U80=""),"",U80/Q80)</f>
        <v>14.8648648648649</v>
      </c>
      <c r="W80" s="8" t="s">
        <v>491</v>
      </c>
      <c r="X80" s="9" t="s">
        <v>57</v>
      </c>
      <c r="Y80" s="10"/>
      <c r="Z80" s="4"/>
      <c r="AA80" s="11" t="n">
        <f aca="false">IF(X80&lt;&gt;"Published",COUNTIF($X$2:X80,"&lt;&gt;Published"),"")</f>
        <v>79</v>
      </c>
    </row>
    <row r="81" customFormat="false" ht="26.85" hidden="false" customHeight="false" outlineLevel="0" collapsed="false">
      <c r="A81" s="4" t="n">
        <v>80</v>
      </c>
      <c r="B81" s="4" t="n">
        <f aca="false">ROUNDUP(A81/3,0)</f>
        <v>27</v>
      </c>
      <c r="C81" s="4" t="s">
        <v>492</v>
      </c>
      <c r="D81" s="4" t="s">
        <v>264</v>
      </c>
      <c r="E81" s="4" t="n">
        <v>20</v>
      </c>
      <c r="F81" s="5" t="s">
        <v>493</v>
      </c>
      <c r="G81" s="5" t="s">
        <v>494</v>
      </c>
      <c r="H81" s="4" t="s">
        <v>50</v>
      </c>
      <c r="I81" s="4" t="s">
        <v>159</v>
      </c>
      <c r="J81" s="4" t="s">
        <v>481</v>
      </c>
      <c r="K81" s="4" t="s">
        <v>63</v>
      </c>
      <c r="L81" s="4" t="n">
        <v>51</v>
      </c>
      <c r="M81" s="4" t="n">
        <v>2</v>
      </c>
      <c r="N81" s="4" t="n">
        <v>1</v>
      </c>
      <c r="O81" s="5" t="s">
        <v>495</v>
      </c>
      <c r="P81" s="4" t="s">
        <v>336</v>
      </c>
      <c r="Q81" s="6" t="n">
        <v>128000</v>
      </c>
      <c r="R81" s="6" t="n">
        <v>989000</v>
      </c>
      <c r="S81" s="7" t="n">
        <f aca="false">IF(OR(Q81="",Q81=0,R81=""),"",R81/Q81)</f>
        <v>7.7265625</v>
      </c>
      <c r="T81" s="7" t="n">
        <v>14</v>
      </c>
      <c r="U81" s="6" t="n">
        <f aca="false">IF(OR(T81="",R81=""),"",R81/T81)</f>
        <v>70642.8571428571</v>
      </c>
      <c r="V81" s="7" t="n">
        <f aca="false">IF(OR(Q81="",Q81=0,U81=""),"",U81/Q81)</f>
        <v>0.551897321428571</v>
      </c>
      <c r="W81" s="8" t="s">
        <v>496</v>
      </c>
      <c r="X81" s="9" t="s">
        <v>57</v>
      </c>
      <c r="Y81" s="10"/>
      <c r="Z81" s="4"/>
      <c r="AA81" s="11" t="n">
        <f aca="false">IF(X81&lt;&gt;"Published",COUNTIF($X$2:X81,"&lt;&gt;Published"),"")</f>
        <v>80</v>
      </c>
    </row>
    <row r="82" customFormat="false" ht="26.85" hidden="false" customHeight="false" outlineLevel="0" collapsed="false">
      <c r="A82" s="4" t="n">
        <v>81</v>
      </c>
      <c r="B82" s="4" t="n">
        <f aca="false">ROUNDUP(A82/3,0)</f>
        <v>27</v>
      </c>
      <c r="C82" s="4" t="s">
        <v>497</v>
      </c>
      <c r="D82" s="4" t="s">
        <v>59</v>
      </c>
      <c r="E82" s="4" t="n">
        <v>28</v>
      </c>
      <c r="F82" s="5" t="s">
        <v>498</v>
      </c>
      <c r="G82" s="5" t="s">
        <v>499</v>
      </c>
      <c r="H82" s="4" t="s">
        <v>50</v>
      </c>
      <c r="I82" s="4" t="s">
        <v>449</v>
      </c>
      <c r="J82" s="4" t="s">
        <v>476</v>
      </c>
      <c r="K82" s="4" t="s">
        <v>63</v>
      </c>
      <c r="L82" s="4" t="n">
        <v>21</v>
      </c>
      <c r="M82" s="4" t="n">
        <v>7</v>
      </c>
      <c r="N82" s="4" t="n">
        <v>0</v>
      </c>
      <c r="O82" s="5" t="s">
        <v>479</v>
      </c>
      <c r="P82" s="4" t="s">
        <v>65</v>
      </c>
      <c r="Q82" s="6" t="n">
        <v>43100</v>
      </c>
      <c r="R82" s="6" t="n">
        <v>346000</v>
      </c>
      <c r="S82" s="7" t="n">
        <f aca="false">IF(OR(Q82="",Q82=0,R82=""),"",R82/Q82)</f>
        <v>8.02784222737819</v>
      </c>
      <c r="T82" s="7" t="n">
        <v>14</v>
      </c>
      <c r="U82" s="6" t="n">
        <f aca="false">IF(OR(T82="",R82=""),"",R82/T82)</f>
        <v>24714.2857142857</v>
      </c>
      <c r="V82" s="7" t="n">
        <f aca="false">IF(OR(Q82="",Q82=0,U82=""),"",U82/Q82)</f>
        <v>0.573417301955585</v>
      </c>
      <c r="W82" s="8" t="s">
        <v>480</v>
      </c>
      <c r="X82" s="9" t="s">
        <v>57</v>
      </c>
      <c r="Y82" s="10"/>
      <c r="Z82" s="4"/>
      <c r="AA82" s="11" t="n">
        <f aca="false">IF(X82&lt;&gt;"Published",COUNTIF($X$2:X82,"&lt;&gt;Published"),"")</f>
        <v>81</v>
      </c>
    </row>
    <row r="83" customFormat="false" ht="26.85" hidden="false" customHeight="false" outlineLevel="0" collapsed="false">
      <c r="A83" s="4" t="n">
        <v>82</v>
      </c>
      <c r="B83" s="4" t="n">
        <f aca="false">ROUNDUP(A83/3,0)</f>
        <v>28</v>
      </c>
      <c r="C83" s="4" t="s">
        <v>500</v>
      </c>
      <c r="D83" s="4" t="s">
        <v>264</v>
      </c>
      <c r="E83" s="4" t="n">
        <v>21</v>
      </c>
      <c r="F83" s="5" t="s">
        <v>501</v>
      </c>
      <c r="G83" s="5" t="s">
        <v>502</v>
      </c>
      <c r="H83" s="4" t="s">
        <v>50</v>
      </c>
      <c r="I83" s="4" t="s">
        <v>69</v>
      </c>
      <c r="J83" s="4" t="s">
        <v>492</v>
      </c>
      <c r="K83" s="4" t="s">
        <v>53</v>
      </c>
      <c r="L83" s="4" t="n">
        <v>41</v>
      </c>
      <c r="M83" s="4" t="n">
        <v>6</v>
      </c>
      <c r="N83" s="4" t="n">
        <v>3</v>
      </c>
      <c r="O83" s="5" t="s">
        <v>503</v>
      </c>
      <c r="P83" s="4" t="s">
        <v>336</v>
      </c>
      <c r="Q83" s="6" t="n">
        <v>128000</v>
      </c>
      <c r="R83" s="6" t="n">
        <v>1700000</v>
      </c>
      <c r="S83" s="7" t="n">
        <f aca="false">IF(OR(Q83="",Q83=0,R83=""),"",R83/Q83)</f>
        <v>13.28125</v>
      </c>
      <c r="T83" s="7" t="n">
        <v>14</v>
      </c>
      <c r="U83" s="6" t="n">
        <f aca="false">IF(OR(T83="",R83=""),"",R83/T83)</f>
        <v>121428.571428571</v>
      </c>
      <c r="V83" s="7" t="n">
        <f aca="false">IF(OR(Q83="",Q83=0,U83=""),"",U83/Q83)</f>
        <v>0.948660714285714</v>
      </c>
      <c r="W83" s="8" t="s">
        <v>504</v>
      </c>
      <c r="X83" s="9" t="s">
        <v>57</v>
      </c>
      <c r="Y83" s="10"/>
      <c r="Z83" s="4"/>
      <c r="AA83" s="11" t="n">
        <f aca="false">IF(X83&lt;&gt;"Published",COUNTIF($X$2:X83,"&lt;&gt;Published"),"")</f>
        <v>82</v>
      </c>
    </row>
    <row r="84" customFormat="false" ht="26.85" hidden="false" customHeight="false" outlineLevel="0" collapsed="false">
      <c r="A84" s="4" t="n">
        <v>83</v>
      </c>
      <c r="B84" s="4" t="n">
        <f aca="false">ROUNDUP(A84/3,0)</f>
        <v>28</v>
      </c>
      <c r="C84" s="4" t="s">
        <v>505</v>
      </c>
      <c r="D84" s="4" t="s">
        <v>47</v>
      </c>
      <c r="E84" s="4" t="n">
        <v>29</v>
      </c>
      <c r="F84" s="5" t="s">
        <v>506</v>
      </c>
      <c r="G84" s="5" t="s">
        <v>507</v>
      </c>
      <c r="H84" s="4" t="s">
        <v>50</v>
      </c>
      <c r="I84" s="4" t="s">
        <v>449</v>
      </c>
      <c r="J84" s="4" t="s">
        <v>486</v>
      </c>
      <c r="K84" s="4" t="s">
        <v>63</v>
      </c>
      <c r="L84" s="4" t="n">
        <v>22</v>
      </c>
      <c r="M84" s="4" t="n">
        <v>5</v>
      </c>
      <c r="N84" s="4" t="n">
        <v>0</v>
      </c>
      <c r="O84" s="5" t="s">
        <v>508</v>
      </c>
      <c r="P84" s="4" t="s">
        <v>474</v>
      </c>
      <c r="Q84" s="6" t="n">
        <v>36000</v>
      </c>
      <c r="R84" s="6" t="n">
        <v>164000</v>
      </c>
      <c r="S84" s="7" t="n">
        <f aca="false">IF(OR(Q84="",Q84=0,R84=""),"",R84/Q84)</f>
        <v>4.55555555555556</v>
      </c>
      <c r="T84" s="7" t="n">
        <v>5</v>
      </c>
      <c r="U84" s="6" t="n">
        <f aca="false">IF(OR(T84="",R84=""),"",R84/T84)</f>
        <v>32800</v>
      </c>
      <c r="V84" s="7" t="n">
        <f aca="false">IF(OR(Q84="",Q84=0,U84=""),"",U84/Q84)</f>
        <v>0.911111111111111</v>
      </c>
      <c r="W84" s="8" t="s">
        <v>509</v>
      </c>
      <c r="X84" s="9" t="s">
        <v>57</v>
      </c>
      <c r="Y84" s="10"/>
      <c r="Z84" s="4"/>
      <c r="AA84" s="11" t="n">
        <f aca="false">IF(X84&lt;&gt;"Published",COUNTIF($X$2:X84,"&lt;&gt;Published"),"")</f>
        <v>83</v>
      </c>
    </row>
    <row r="85" customFormat="false" ht="26.85" hidden="false" customHeight="false" outlineLevel="0" collapsed="false">
      <c r="A85" s="4" t="n">
        <v>84</v>
      </c>
      <c r="B85" s="4" t="n">
        <f aca="false">ROUNDUP(A85/3,0)</f>
        <v>28</v>
      </c>
      <c r="C85" s="4" t="s">
        <v>510</v>
      </c>
      <c r="D85" s="4" t="s">
        <v>264</v>
      </c>
      <c r="E85" s="4" t="n">
        <v>22</v>
      </c>
      <c r="F85" s="5" t="s">
        <v>511</v>
      </c>
      <c r="G85" s="5" t="s">
        <v>512</v>
      </c>
      <c r="H85" s="4" t="s">
        <v>50</v>
      </c>
      <c r="I85" s="4" t="s">
        <v>69</v>
      </c>
      <c r="J85" s="4" t="s">
        <v>492</v>
      </c>
      <c r="K85" s="4" t="s">
        <v>63</v>
      </c>
      <c r="L85" s="4" t="n">
        <v>79</v>
      </c>
      <c r="M85" s="4" t="n">
        <v>5</v>
      </c>
      <c r="N85" s="4" t="n">
        <v>0</v>
      </c>
      <c r="O85" s="5" t="s">
        <v>495</v>
      </c>
      <c r="P85" s="4" t="s">
        <v>336</v>
      </c>
      <c r="Q85" s="6" t="n">
        <v>128000</v>
      </c>
      <c r="R85" s="6" t="n">
        <v>989000</v>
      </c>
      <c r="S85" s="7" t="n">
        <f aca="false">IF(OR(Q85="",Q85=0,R85=""),"",R85/Q85)</f>
        <v>7.7265625</v>
      </c>
      <c r="T85" s="7" t="n">
        <v>14</v>
      </c>
      <c r="U85" s="6" t="n">
        <f aca="false">IF(OR(T85="",R85=""),"",R85/T85)</f>
        <v>70642.8571428571</v>
      </c>
      <c r="V85" s="7" t="n">
        <f aca="false">IF(OR(Q85="",Q85=0,U85=""),"",U85/Q85)</f>
        <v>0.551897321428571</v>
      </c>
      <c r="W85" s="8" t="s">
        <v>496</v>
      </c>
      <c r="X85" s="9" t="s">
        <v>57</v>
      </c>
      <c r="Y85" s="10"/>
      <c r="Z85" s="4"/>
      <c r="AA85" s="11" t="n">
        <f aca="false">IF(X85&lt;&gt;"Published",COUNTIF($X$2:X85,"&lt;&gt;Published"),"")</f>
        <v>84</v>
      </c>
    </row>
    <row r="86" customFormat="false" ht="26.85" hidden="false" customHeight="false" outlineLevel="0" collapsed="false">
      <c r="A86" s="4" t="n">
        <v>85</v>
      </c>
      <c r="B86" s="4" t="n">
        <f aca="false">ROUNDUP(A86/3,0)</f>
        <v>29</v>
      </c>
      <c r="C86" s="4" t="s">
        <v>513</v>
      </c>
      <c r="D86" s="4" t="s">
        <v>59</v>
      </c>
      <c r="E86" s="4" t="n">
        <v>29</v>
      </c>
      <c r="F86" s="5" t="s">
        <v>514</v>
      </c>
      <c r="G86" s="5" t="s">
        <v>515</v>
      </c>
      <c r="H86" s="4" t="s">
        <v>50</v>
      </c>
      <c r="I86" s="4" t="s">
        <v>159</v>
      </c>
      <c r="J86" s="4" t="s">
        <v>476</v>
      </c>
      <c r="K86" s="4" t="s">
        <v>84</v>
      </c>
      <c r="L86" s="4" t="n">
        <v>14</v>
      </c>
      <c r="M86" s="4" t="n">
        <v>0</v>
      </c>
      <c r="N86" s="4" t="n">
        <v>0</v>
      </c>
      <c r="O86" s="5" t="s">
        <v>516</v>
      </c>
      <c r="P86" s="4" t="s">
        <v>517</v>
      </c>
      <c r="Q86" s="6" t="n">
        <v>83500</v>
      </c>
      <c r="R86" s="6" t="n">
        <v>29000</v>
      </c>
      <c r="S86" s="7" t="n">
        <f aca="false">IF(OR(Q86="",Q86=0,R86=""),"",R86/Q86)</f>
        <v>0.347305389221557</v>
      </c>
      <c r="T86" s="7" t="n">
        <v>5</v>
      </c>
      <c r="U86" s="6" t="n">
        <f aca="false">IF(OR(T86="",R86=""),"",R86/T86)</f>
        <v>5800</v>
      </c>
      <c r="V86" s="7" t="n">
        <f aca="false">IF(OR(Q86="",Q86=0,U86=""),"",U86/Q86)</f>
        <v>0.0694610778443114</v>
      </c>
      <c r="W86" s="8" t="s">
        <v>518</v>
      </c>
      <c r="X86" s="9" t="s">
        <v>57</v>
      </c>
      <c r="Y86" s="10"/>
      <c r="Z86" s="4"/>
      <c r="AA86" s="11" t="n">
        <f aca="false">IF(X86&lt;&gt;"Published",COUNTIF($X$2:X86,"&lt;&gt;Published"),"")</f>
        <v>85</v>
      </c>
    </row>
    <row r="87" customFormat="false" ht="26.85" hidden="false" customHeight="false" outlineLevel="0" collapsed="false">
      <c r="A87" s="4" t="n">
        <v>86</v>
      </c>
      <c r="B87" s="4" t="n">
        <f aca="false">ROUNDUP(A87/3,0)</f>
        <v>29</v>
      </c>
      <c r="C87" s="4" t="s">
        <v>519</v>
      </c>
      <c r="D87" s="4" t="s">
        <v>264</v>
      </c>
      <c r="E87" s="4" t="n">
        <v>23</v>
      </c>
      <c r="F87" s="5" t="s">
        <v>520</v>
      </c>
      <c r="G87" s="5" t="s">
        <v>521</v>
      </c>
      <c r="H87" s="4" t="s">
        <v>50</v>
      </c>
      <c r="I87" s="4" t="s">
        <v>69</v>
      </c>
      <c r="J87" s="4" t="s">
        <v>492</v>
      </c>
      <c r="K87" s="4" t="s">
        <v>84</v>
      </c>
      <c r="L87" s="4" t="n">
        <v>14</v>
      </c>
      <c r="M87" s="4" t="n">
        <v>0</v>
      </c>
      <c r="N87" s="4" t="n">
        <v>0</v>
      </c>
      <c r="O87" s="5" t="s">
        <v>522</v>
      </c>
      <c r="P87" s="4" t="s">
        <v>336</v>
      </c>
      <c r="Q87" s="6" t="n">
        <v>128000</v>
      </c>
      <c r="R87" s="6" t="n">
        <v>83000</v>
      </c>
      <c r="S87" s="7" t="n">
        <f aca="false">IF(OR(Q87="",Q87=0,R87=""),"",R87/Q87)</f>
        <v>0.6484375</v>
      </c>
      <c r="T87" s="7" t="n">
        <v>7</v>
      </c>
      <c r="U87" s="6" t="n">
        <f aca="false">IF(OR(T87="",R87=""),"",R87/T87)</f>
        <v>11857.1428571429</v>
      </c>
      <c r="V87" s="7" t="n">
        <f aca="false">IF(OR(Q87="",Q87=0,U87=""),"",U87/Q87)</f>
        <v>0.0926339285714286</v>
      </c>
      <c r="W87" s="8" t="s">
        <v>523</v>
      </c>
      <c r="X87" s="9" t="s">
        <v>57</v>
      </c>
      <c r="Y87" s="10"/>
      <c r="Z87" s="4"/>
      <c r="AA87" s="11" t="n">
        <f aca="false">IF(X87&lt;&gt;"Published",COUNTIF($X$2:X87,"&lt;&gt;Published"),"")</f>
        <v>86</v>
      </c>
    </row>
    <row r="88" customFormat="false" ht="39.55" hidden="false" customHeight="false" outlineLevel="0" collapsed="false">
      <c r="A88" s="4" t="n">
        <v>87</v>
      </c>
      <c r="B88" s="4" t="n">
        <f aca="false">ROUNDUP(A88/3,0)</f>
        <v>29</v>
      </c>
      <c r="C88" s="4" t="s">
        <v>524</v>
      </c>
      <c r="D88" s="4" t="s">
        <v>47</v>
      </c>
      <c r="E88" s="4" t="n">
        <v>30</v>
      </c>
      <c r="F88" s="5" t="s">
        <v>525</v>
      </c>
      <c r="G88" s="5" t="s">
        <v>526</v>
      </c>
      <c r="H88" s="4" t="s">
        <v>50</v>
      </c>
      <c r="I88" s="4" t="s">
        <v>159</v>
      </c>
      <c r="J88" s="4" t="s">
        <v>349</v>
      </c>
      <c r="K88" s="4" t="s">
        <v>63</v>
      </c>
      <c r="L88" s="4" t="n">
        <v>11</v>
      </c>
      <c r="M88" s="4" t="n">
        <v>1</v>
      </c>
      <c r="N88" s="4" t="n">
        <v>0</v>
      </c>
      <c r="O88" s="5" t="s">
        <v>527</v>
      </c>
      <c r="P88" s="4" t="s">
        <v>123</v>
      </c>
      <c r="Q88" s="6" t="n">
        <v>7140</v>
      </c>
      <c r="R88" s="6" t="n">
        <v>10000</v>
      </c>
      <c r="S88" s="7" t="n">
        <f aca="false">IF(OR(Q88="",Q88=0,R88=""),"",R88/Q88)</f>
        <v>1.40056022408964</v>
      </c>
      <c r="T88" s="7" t="n">
        <v>0.25</v>
      </c>
      <c r="U88" s="6" t="n">
        <f aca="false">IF(OR(T88="",R88=""),"",R88/T88)</f>
        <v>40000</v>
      </c>
      <c r="V88" s="7" t="n">
        <f aca="false">IF(OR(Q88="",Q88=0,U88=""),"",U88/Q88)</f>
        <v>5.60224089635854</v>
      </c>
      <c r="W88" s="8" t="s">
        <v>528</v>
      </c>
      <c r="X88" s="9" t="s">
        <v>57</v>
      </c>
      <c r="Y88" s="10"/>
      <c r="Z88" s="4"/>
      <c r="AA88" s="11" t="n">
        <f aca="false">IF(X88&lt;&gt;"Published",COUNTIF($X$2:X88,"&lt;&gt;Published"),"")</f>
        <v>87</v>
      </c>
    </row>
    <row r="89" customFormat="false" ht="26.85" hidden="false" customHeight="false" outlineLevel="0" collapsed="false">
      <c r="A89" s="4" t="n">
        <v>88</v>
      </c>
      <c r="B89" s="4" t="n">
        <f aca="false">ROUNDUP(A89/3,0)</f>
        <v>30</v>
      </c>
      <c r="C89" s="4" t="s">
        <v>529</v>
      </c>
      <c r="D89" s="4" t="s">
        <v>264</v>
      </c>
      <c r="E89" s="4" t="n">
        <v>24</v>
      </c>
      <c r="F89" s="5" t="s">
        <v>530</v>
      </c>
      <c r="G89" s="5" t="s">
        <v>531</v>
      </c>
      <c r="H89" s="4" t="s">
        <v>50</v>
      </c>
      <c r="I89" s="4" t="s">
        <v>159</v>
      </c>
      <c r="J89" s="4" t="s">
        <v>510</v>
      </c>
      <c r="K89" s="4" t="s">
        <v>53</v>
      </c>
      <c r="L89" s="4" t="n">
        <v>50</v>
      </c>
      <c r="M89" s="4" t="n">
        <v>4</v>
      </c>
      <c r="N89" s="4" t="n">
        <v>1</v>
      </c>
      <c r="O89" s="5" t="s">
        <v>532</v>
      </c>
      <c r="P89" s="4" t="s">
        <v>533</v>
      </c>
      <c r="Q89" s="6" t="n">
        <v>19200</v>
      </c>
      <c r="R89" s="6" t="n">
        <v>166000</v>
      </c>
      <c r="S89" s="7" t="n">
        <f aca="false">IF(OR(Q89="",Q89=0,R89=""),"",R89/Q89)</f>
        <v>8.64583333333333</v>
      </c>
      <c r="T89" s="7" t="n">
        <v>2</v>
      </c>
      <c r="U89" s="6" t="n">
        <f aca="false">IF(OR(T89="",R89=""),"",R89/T89)</f>
        <v>83000</v>
      </c>
      <c r="V89" s="7" t="n">
        <f aca="false">IF(OR(Q89="",Q89=0,U89=""),"",U89/Q89)</f>
        <v>4.32291666666667</v>
      </c>
      <c r="W89" s="8" t="s">
        <v>534</v>
      </c>
      <c r="X89" s="9" t="s">
        <v>57</v>
      </c>
      <c r="Y89" s="10"/>
      <c r="Z89" s="4"/>
      <c r="AA89" s="11" t="n">
        <f aca="false">IF(X89&lt;&gt;"Published",COUNTIF($X$2:X89,"&lt;&gt;Published"),"")</f>
        <v>88</v>
      </c>
    </row>
    <row r="90" customFormat="false" ht="26.85" hidden="false" customHeight="false" outlineLevel="0" collapsed="false">
      <c r="A90" s="4" t="n">
        <v>89</v>
      </c>
      <c r="B90" s="4" t="n">
        <f aca="false">ROUNDUP(A90/3,0)</f>
        <v>30</v>
      </c>
      <c r="C90" s="4" t="s">
        <v>535</v>
      </c>
      <c r="D90" s="4" t="s">
        <v>47</v>
      </c>
      <c r="E90" s="4" t="n">
        <v>31</v>
      </c>
      <c r="F90" s="5" t="s">
        <v>536</v>
      </c>
      <c r="G90" s="5" t="s">
        <v>537</v>
      </c>
      <c r="H90" s="4" t="s">
        <v>50</v>
      </c>
      <c r="I90" s="4" t="s">
        <v>69</v>
      </c>
      <c r="J90" s="4" t="s">
        <v>162</v>
      </c>
      <c r="K90" s="4" t="s">
        <v>84</v>
      </c>
      <c r="L90" s="4" t="n">
        <v>22</v>
      </c>
      <c r="M90" s="4" t="n">
        <v>0</v>
      </c>
      <c r="N90" s="4" t="n">
        <v>0</v>
      </c>
      <c r="O90" s="5" t="s">
        <v>538</v>
      </c>
      <c r="P90" s="4" t="s">
        <v>539</v>
      </c>
      <c r="Q90" s="6" t="n">
        <v>122000</v>
      </c>
      <c r="R90" s="6" t="n">
        <v>54000</v>
      </c>
      <c r="S90" s="7" t="n">
        <f aca="false">IF(OR(Q90="",Q90=0,R90=""),"",R90/Q90)</f>
        <v>0.442622950819672</v>
      </c>
      <c r="T90" s="7" t="n">
        <v>1</v>
      </c>
      <c r="U90" s="6" t="n">
        <f aca="false">IF(OR(T90="",R90=""),"",R90/T90)</f>
        <v>54000</v>
      </c>
      <c r="V90" s="7" t="n">
        <f aca="false">IF(OR(Q90="",Q90=0,U90=""),"",U90/Q90)</f>
        <v>0.442622950819672</v>
      </c>
      <c r="W90" s="8" t="s">
        <v>540</v>
      </c>
      <c r="X90" s="9" t="s">
        <v>57</v>
      </c>
      <c r="Y90" s="10"/>
      <c r="Z90" s="4"/>
      <c r="AA90" s="11" t="n">
        <f aca="false">IF(X90&lt;&gt;"Published",COUNTIF($X$2:X90,"&lt;&gt;Published"),"")</f>
        <v>89</v>
      </c>
    </row>
    <row r="91" customFormat="false" ht="26.85" hidden="false" customHeight="false" outlineLevel="0" collapsed="false">
      <c r="A91" s="4" t="n">
        <v>90</v>
      </c>
      <c r="B91" s="4" t="n">
        <f aca="false">ROUNDUP(A91/3,0)</f>
        <v>30</v>
      </c>
      <c r="C91" s="4" t="s">
        <v>541</v>
      </c>
      <c r="D91" s="4" t="s">
        <v>264</v>
      </c>
      <c r="E91" s="4" t="n">
        <v>25</v>
      </c>
      <c r="F91" s="5" t="s">
        <v>542</v>
      </c>
      <c r="G91" s="5" t="s">
        <v>543</v>
      </c>
      <c r="H91" s="4" t="s">
        <v>50</v>
      </c>
      <c r="I91" s="4" t="s">
        <v>69</v>
      </c>
      <c r="J91" s="4" t="s">
        <v>492</v>
      </c>
      <c r="K91" s="4" t="s">
        <v>63</v>
      </c>
      <c r="L91" s="4" t="n">
        <v>31</v>
      </c>
      <c r="M91" s="4" t="n">
        <v>1</v>
      </c>
      <c r="N91" s="4" t="n">
        <v>0</v>
      </c>
      <c r="O91" s="5" t="s">
        <v>544</v>
      </c>
      <c r="P91" s="4" t="s">
        <v>474</v>
      </c>
      <c r="Q91" s="6" t="n">
        <v>36000</v>
      </c>
      <c r="R91" s="6" t="n">
        <v>40000</v>
      </c>
      <c r="S91" s="7" t="n">
        <f aca="false">IF(OR(Q91="",Q91=0,R91=""),"",R91/Q91)</f>
        <v>1.11111111111111</v>
      </c>
      <c r="T91" s="7" t="n">
        <v>5</v>
      </c>
      <c r="U91" s="6" t="n">
        <f aca="false">IF(OR(T91="",R91=""),"",R91/T91)</f>
        <v>8000</v>
      </c>
      <c r="V91" s="7" t="n">
        <f aca="false">IF(OR(Q91="",Q91=0,U91=""),"",U91/Q91)</f>
        <v>0.222222222222222</v>
      </c>
      <c r="W91" s="8" t="s">
        <v>545</v>
      </c>
      <c r="X91" s="9" t="s">
        <v>57</v>
      </c>
      <c r="Y91" s="10"/>
      <c r="Z91" s="4"/>
      <c r="AA91" s="11" t="n">
        <f aca="false">IF(X91&lt;&gt;"Published",COUNTIF($X$2:X91,"&lt;&gt;Published"),"")</f>
        <v>90</v>
      </c>
    </row>
    <row r="92" customFormat="false" ht="26.85" hidden="false" customHeight="false" outlineLevel="0" collapsed="false">
      <c r="A92" s="4" t="n">
        <v>91</v>
      </c>
      <c r="B92" s="4" t="n">
        <f aca="false">ROUNDUP(A92/3,0)</f>
        <v>31</v>
      </c>
      <c r="C92" s="4" t="s">
        <v>546</v>
      </c>
      <c r="D92" s="4" t="s">
        <v>47</v>
      </c>
      <c r="E92" s="4" t="n">
        <v>32</v>
      </c>
      <c r="F92" s="5" t="s">
        <v>547</v>
      </c>
      <c r="G92" s="5" t="s">
        <v>548</v>
      </c>
      <c r="H92" s="4" t="s">
        <v>50</v>
      </c>
      <c r="I92" s="4" t="s">
        <v>51</v>
      </c>
      <c r="J92" s="4" t="s">
        <v>203</v>
      </c>
      <c r="K92" s="4" t="s">
        <v>84</v>
      </c>
      <c r="L92" s="4" t="n">
        <v>4</v>
      </c>
      <c r="M92" s="4" t="n">
        <v>0</v>
      </c>
      <c r="N92" s="4" t="n">
        <v>0</v>
      </c>
      <c r="O92" s="5" t="s">
        <v>549</v>
      </c>
      <c r="P92" s="4" t="s">
        <v>550</v>
      </c>
      <c r="Q92" s="6" t="n">
        <v>31100</v>
      </c>
      <c r="R92" s="6" t="n">
        <v>22000</v>
      </c>
      <c r="S92" s="7" t="n">
        <f aca="false">IF(OR(Q92="",Q92=0,R92=""),"",R92/Q92)</f>
        <v>0.707395498392283</v>
      </c>
      <c r="T92" s="7" t="n">
        <v>10</v>
      </c>
      <c r="U92" s="6" t="n">
        <f aca="false">IF(OR(T92="",R92=""),"",R92/T92)</f>
        <v>2200</v>
      </c>
      <c r="V92" s="7" t="n">
        <f aca="false">IF(OR(Q92="",Q92=0,U92=""),"",U92/Q92)</f>
        <v>0.0707395498392283</v>
      </c>
      <c r="W92" s="8" t="s">
        <v>551</v>
      </c>
      <c r="X92" s="9" t="s">
        <v>57</v>
      </c>
      <c r="Y92" s="10"/>
      <c r="Z92" s="4"/>
      <c r="AA92" s="11" t="n">
        <f aca="false">IF(X92&lt;&gt;"Published",COUNTIF($X$2:X92,"&lt;&gt;Published"),"")</f>
        <v>91</v>
      </c>
    </row>
    <row r="93" customFormat="false" ht="26.85" hidden="false" customHeight="false" outlineLevel="0" collapsed="false">
      <c r="A93" s="4" t="n">
        <v>92</v>
      </c>
      <c r="B93" s="4" t="n">
        <f aca="false">ROUNDUP(A93/3,0)</f>
        <v>31</v>
      </c>
      <c r="C93" s="4" t="s">
        <v>552</v>
      </c>
      <c r="D93" s="4" t="s">
        <v>264</v>
      </c>
      <c r="E93" s="4" t="n">
        <v>26</v>
      </c>
      <c r="F93" s="5" t="s">
        <v>553</v>
      </c>
      <c r="G93" s="5" t="s">
        <v>554</v>
      </c>
      <c r="H93" s="4" t="s">
        <v>50</v>
      </c>
      <c r="I93" s="4" t="s">
        <v>69</v>
      </c>
      <c r="J93" s="4" t="s">
        <v>555</v>
      </c>
      <c r="K93" s="4" t="s">
        <v>63</v>
      </c>
      <c r="L93" s="4" t="n">
        <v>2</v>
      </c>
      <c r="M93" s="4" t="n">
        <v>1</v>
      </c>
      <c r="N93" s="4" t="n">
        <v>1</v>
      </c>
      <c r="O93" s="5" t="s">
        <v>556</v>
      </c>
      <c r="P93" s="4" t="s">
        <v>336</v>
      </c>
      <c r="Q93" s="6" t="n">
        <v>128000</v>
      </c>
      <c r="R93" s="6" t="n">
        <v>1800000</v>
      </c>
      <c r="S93" s="7" t="n">
        <f aca="false">IF(OR(Q93="",Q93=0,R93=""),"",R93/Q93)</f>
        <v>14.0625</v>
      </c>
      <c r="T93" s="7" t="n">
        <v>14</v>
      </c>
      <c r="U93" s="6" t="n">
        <f aca="false">IF(OR(T93="",R93=""),"",R93/T93)</f>
        <v>128571.428571429</v>
      </c>
      <c r="V93" s="7" t="n">
        <f aca="false">IF(OR(Q93="",Q93=0,U93=""),"",U93/Q93)</f>
        <v>1.00446428571429</v>
      </c>
      <c r="W93" s="8" t="s">
        <v>557</v>
      </c>
      <c r="X93" s="9" t="s">
        <v>57</v>
      </c>
      <c r="Y93" s="10"/>
      <c r="Z93" s="4"/>
      <c r="AA93" s="11" t="n">
        <f aca="false">IF(X93&lt;&gt;"Published",COUNTIF($X$2:X93,"&lt;&gt;Published"),"")</f>
        <v>92</v>
      </c>
    </row>
    <row r="94" customFormat="false" ht="26.85" hidden="false" customHeight="false" outlineLevel="0" collapsed="false">
      <c r="A94" s="4" t="n">
        <v>93</v>
      </c>
      <c r="B94" s="4" t="n">
        <f aca="false">ROUNDUP(A94/3,0)</f>
        <v>31</v>
      </c>
      <c r="C94" s="4" t="s">
        <v>558</v>
      </c>
      <c r="D94" s="4" t="s">
        <v>47</v>
      </c>
      <c r="E94" s="4" t="n">
        <v>33</v>
      </c>
      <c r="F94" s="5" t="s">
        <v>559</v>
      </c>
      <c r="G94" s="5" t="s">
        <v>560</v>
      </c>
      <c r="H94" s="4" t="s">
        <v>50</v>
      </c>
      <c r="I94" s="4" t="s">
        <v>69</v>
      </c>
      <c r="J94" s="4" t="s">
        <v>119</v>
      </c>
      <c r="K94" s="4" t="s">
        <v>63</v>
      </c>
      <c r="L94" s="4" t="n">
        <v>42</v>
      </c>
      <c r="M94" s="4" t="n">
        <v>4</v>
      </c>
      <c r="N94" s="4" t="n">
        <v>0</v>
      </c>
      <c r="O94" s="5" t="s">
        <v>561</v>
      </c>
      <c r="P94" s="4" t="s">
        <v>550</v>
      </c>
      <c r="Q94" s="6" t="n">
        <v>31100</v>
      </c>
      <c r="R94" s="6" t="n">
        <v>115000</v>
      </c>
      <c r="S94" s="7" t="n">
        <f aca="false">IF(OR(Q94="",Q94=0,R94=""),"",R94/Q94)</f>
        <v>3.69774919614148</v>
      </c>
      <c r="T94" s="7" t="n">
        <v>10</v>
      </c>
      <c r="U94" s="6" t="n">
        <f aca="false">IF(OR(T94="",R94=""),"",R94/T94)</f>
        <v>11500</v>
      </c>
      <c r="V94" s="7" t="n">
        <f aca="false">IF(OR(Q94="",Q94=0,U94=""),"",U94/Q94)</f>
        <v>0.369774919614148</v>
      </c>
      <c r="W94" s="8" t="s">
        <v>562</v>
      </c>
      <c r="X94" s="9" t="s">
        <v>57</v>
      </c>
      <c r="Y94" s="10"/>
      <c r="Z94" s="4"/>
      <c r="AA94" s="11" t="n">
        <f aca="false">IF(X94&lt;&gt;"Published",COUNTIF($X$2:X94,"&lt;&gt;Published"),"")</f>
        <v>93</v>
      </c>
    </row>
    <row r="95" customFormat="false" ht="26.85" hidden="false" customHeight="false" outlineLevel="0" collapsed="false">
      <c r="A95" s="4" t="n">
        <v>94</v>
      </c>
      <c r="B95" s="4" t="n">
        <f aca="false">ROUNDUP(A95/3,0)</f>
        <v>32</v>
      </c>
      <c r="C95" s="4" t="s">
        <v>563</v>
      </c>
      <c r="D95" s="4" t="s">
        <v>264</v>
      </c>
      <c r="E95" s="4" t="n">
        <v>27</v>
      </c>
      <c r="F95" s="5" t="s">
        <v>564</v>
      </c>
      <c r="G95" s="5" t="s">
        <v>565</v>
      </c>
      <c r="H95" s="4" t="s">
        <v>50</v>
      </c>
      <c r="I95" s="4" t="s">
        <v>159</v>
      </c>
      <c r="J95" s="4" t="s">
        <v>566</v>
      </c>
      <c r="K95" s="4" t="s">
        <v>53</v>
      </c>
      <c r="L95" s="4" t="n">
        <v>185</v>
      </c>
      <c r="M95" s="4" t="n">
        <v>18</v>
      </c>
      <c r="N95" s="4" t="n">
        <v>4</v>
      </c>
      <c r="O95" s="5" t="s">
        <v>567</v>
      </c>
      <c r="P95" s="4" t="s">
        <v>390</v>
      </c>
      <c r="Q95" s="6" t="n">
        <v>29900</v>
      </c>
      <c r="R95" s="6" t="n">
        <v>456000</v>
      </c>
      <c r="S95" s="7" t="n">
        <f aca="false">IF(OR(Q95="",Q95=0,R95=""),"",R95/Q95)</f>
        <v>15.2508361204013</v>
      </c>
      <c r="T95" s="7" t="n">
        <v>4</v>
      </c>
      <c r="U95" s="6" t="n">
        <f aca="false">IF(OR(T95="",R95=""),"",R95/T95)</f>
        <v>114000</v>
      </c>
      <c r="V95" s="7" t="n">
        <f aca="false">IF(OR(Q95="",Q95=0,U95=""),"",U95/Q95)</f>
        <v>3.81270903010033</v>
      </c>
      <c r="W95" s="8" t="s">
        <v>568</v>
      </c>
      <c r="X95" s="9" t="s">
        <v>57</v>
      </c>
      <c r="Y95" s="10"/>
      <c r="Z95" s="4"/>
      <c r="AA95" s="11" t="n">
        <f aca="false">IF(X95&lt;&gt;"Published",COUNTIF($X$2:X95,"&lt;&gt;Published"),"")</f>
        <v>94</v>
      </c>
    </row>
    <row r="96" customFormat="false" ht="26.85" hidden="false" customHeight="false" outlineLevel="0" collapsed="false">
      <c r="A96" s="4" t="n">
        <v>95</v>
      </c>
      <c r="B96" s="4" t="n">
        <f aca="false">ROUNDUP(A96/3,0)</f>
        <v>32</v>
      </c>
      <c r="C96" s="4" t="s">
        <v>569</v>
      </c>
      <c r="D96" s="4" t="s">
        <v>47</v>
      </c>
      <c r="E96" s="4" t="n">
        <v>34</v>
      </c>
      <c r="F96" s="5" t="s">
        <v>570</v>
      </c>
      <c r="G96" s="5" t="s">
        <v>571</v>
      </c>
      <c r="H96" s="4" t="s">
        <v>50</v>
      </c>
      <c r="I96" s="4" t="s">
        <v>51</v>
      </c>
      <c r="J96" s="4" t="s">
        <v>270</v>
      </c>
      <c r="K96" s="4" t="s">
        <v>53</v>
      </c>
      <c r="L96" s="4" t="n">
        <v>185</v>
      </c>
      <c r="M96" s="4" t="n">
        <v>18</v>
      </c>
      <c r="N96" s="4" t="n">
        <v>4</v>
      </c>
      <c r="O96" s="5" t="s">
        <v>567</v>
      </c>
      <c r="P96" s="4" t="s">
        <v>390</v>
      </c>
      <c r="Q96" s="6" t="n">
        <v>29900</v>
      </c>
      <c r="R96" s="6" t="n">
        <v>456000</v>
      </c>
      <c r="S96" s="7" t="n">
        <f aca="false">IF(OR(Q96="",Q96=0,R96=""),"",R96/Q96)</f>
        <v>15.2508361204013</v>
      </c>
      <c r="T96" s="7" t="n">
        <v>4</v>
      </c>
      <c r="U96" s="6" t="n">
        <f aca="false">IF(OR(T96="",R96=""),"",R96/T96)</f>
        <v>114000</v>
      </c>
      <c r="V96" s="7" t="n">
        <f aca="false">IF(OR(Q96="",Q96=0,U96=""),"",U96/Q96)</f>
        <v>3.81270903010033</v>
      </c>
      <c r="W96" s="8" t="s">
        <v>568</v>
      </c>
      <c r="X96" s="9" t="s">
        <v>57</v>
      </c>
      <c r="Y96" s="10"/>
      <c r="Z96" s="4"/>
      <c r="AA96" s="11" t="n">
        <f aca="false">IF(X96&lt;&gt;"Published",COUNTIF($X$2:X96,"&lt;&gt;Published"),"")</f>
        <v>95</v>
      </c>
    </row>
    <row r="97" customFormat="false" ht="26.85" hidden="false" customHeight="false" outlineLevel="0" collapsed="false">
      <c r="A97" s="4" t="n">
        <v>96</v>
      </c>
      <c r="B97" s="4" t="n">
        <f aca="false">ROUNDUP(A97/3,0)</f>
        <v>32</v>
      </c>
      <c r="C97" s="4" t="s">
        <v>572</v>
      </c>
      <c r="D97" s="4" t="s">
        <v>264</v>
      </c>
      <c r="E97" s="4" t="n">
        <v>28</v>
      </c>
      <c r="F97" s="5" t="s">
        <v>573</v>
      </c>
      <c r="G97" s="5" t="s">
        <v>574</v>
      </c>
      <c r="H97" s="4" t="s">
        <v>50</v>
      </c>
      <c r="I97" s="4" t="s">
        <v>69</v>
      </c>
      <c r="J97" s="4" t="s">
        <v>563</v>
      </c>
      <c r="K97" s="4" t="s">
        <v>63</v>
      </c>
      <c r="L97" s="4" t="n">
        <v>93</v>
      </c>
      <c r="M97" s="4" t="n">
        <v>11</v>
      </c>
      <c r="N97" s="4" t="n">
        <v>2</v>
      </c>
      <c r="O97" s="5" t="s">
        <v>358</v>
      </c>
      <c r="P97" s="4" t="s">
        <v>359</v>
      </c>
      <c r="Q97" s="6" t="n">
        <v>149000</v>
      </c>
      <c r="R97" s="6" t="n">
        <v>708000</v>
      </c>
      <c r="S97" s="7" t="n">
        <f aca="false">IF(OR(Q97="",Q97=0,R97=""),"",R97/Q97)</f>
        <v>4.75167785234899</v>
      </c>
      <c r="T97" s="7" t="n">
        <v>13</v>
      </c>
      <c r="U97" s="6" t="n">
        <f aca="false">IF(OR(T97="",R97=""),"",R97/T97)</f>
        <v>54461.5384615385</v>
      </c>
      <c r="V97" s="7" t="n">
        <f aca="false">IF(OR(Q97="",Q97=0,U97=""),"",U97/Q97)</f>
        <v>0.365513680949923</v>
      </c>
      <c r="W97" s="8" t="s">
        <v>360</v>
      </c>
      <c r="X97" s="9" t="s">
        <v>57</v>
      </c>
      <c r="Y97" s="10"/>
      <c r="Z97" s="4"/>
      <c r="AA97" s="11" t="n">
        <f aca="false">IF(X97&lt;&gt;"Published",COUNTIF($X$2:X97,"&lt;&gt;Published"),"")</f>
        <v>96</v>
      </c>
    </row>
    <row r="98" customFormat="false" ht="39.55" hidden="false" customHeight="false" outlineLevel="0" collapsed="false">
      <c r="A98" s="4" t="n">
        <v>97</v>
      </c>
      <c r="B98" s="4" t="n">
        <f aca="false">ROUNDUP(A98/3,0)</f>
        <v>33</v>
      </c>
      <c r="C98" s="4" t="s">
        <v>575</v>
      </c>
      <c r="D98" s="4" t="s">
        <v>47</v>
      </c>
      <c r="E98" s="4" t="n">
        <v>35</v>
      </c>
      <c r="F98" s="5" t="s">
        <v>576</v>
      </c>
      <c r="G98" s="5" t="s">
        <v>577</v>
      </c>
      <c r="H98" s="4" t="s">
        <v>50</v>
      </c>
      <c r="I98" s="4" t="s">
        <v>51</v>
      </c>
      <c r="J98" s="4" t="s">
        <v>245</v>
      </c>
      <c r="K98" s="4" t="s">
        <v>63</v>
      </c>
      <c r="L98" s="4" t="n">
        <v>6</v>
      </c>
      <c r="M98" s="4" t="n">
        <v>1</v>
      </c>
      <c r="N98" s="4" t="n">
        <v>0</v>
      </c>
      <c r="O98" s="5" t="s">
        <v>578</v>
      </c>
      <c r="P98" s="4" t="s">
        <v>55</v>
      </c>
      <c r="Q98" s="6" t="n">
        <v>102000</v>
      </c>
      <c r="R98" s="6" t="n">
        <v>143000</v>
      </c>
      <c r="S98" s="7" t="n">
        <f aca="false">IF(OR(Q98="",Q98=0,R98=""),"",R98/Q98)</f>
        <v>1.40196078431373</v>
      </c>
      <c r="T98" s="7" t="n">
        <v>8</v>
      </c>
      <c r="U98" s="6" t="n">
        <f aca="false">IF(OR(T98="",R98=""),"",R98/T98)</f>
        <v>17875</v>
      </c>
      <c r="V98" s="7" t="n">
        <f aca="false">IF(OR(Q98="",Q98=0,U98=""),"",U98/Q98)</f>
        <v>0.175245098039216</v>
      </c>
      <c r="W98" s="8" t="s">
        <v>579</v>
      </c>
      <c r="X98" s="9" t="s">
        <v>57</v>
      </c>
      <c r="Y98" s="10"/>
      <c r="Z98" s="4"/>
      <c r="AA98" s="11" t="n">
        <f aca="false">IF(X98&lt;&gt;"Published",COUNTIF($X$2:X98,"&lt;&gt;Published"),"")</f>
        <v>97</v>
      </c>
    </row>
    <row r="99" customFormat="false" ht="15" hidden="false" customHeight="false" outlineLevel="0" collapsed="false">
      <c r="A99" s="4" t="n">
        <v>98</v>
      </c>
      <c r="B99" s="4" t="n">
        <f aca="false">ROUNDUP(A99/3,0)</f>
        <v>33</v>
      </c>
      <c r="C99" s="4" t="s">
        <v>580</v>
      </c>
      <c r="D99" s="4" t="s">
        <v>264</v>
      </c>
      <c r="E99" s="4" t="n">
        <v>29</v>
      </c>
      <c r="F99" s="5" t="s">
        <v>581</v>
      </c>
      <c r="G99" s="5" t="s">
        <v>582</v>
      </c>
      <c r="H99" s="4" t="s">
        <v>50</v>
      </c>
      <c r="I99" s="4" t="s">
        <v>159</v>
      </c>
      <c r="J99" s="4" t="s">
        <v>583</v>
      </c>
      <c r="K99" s="4" t="s">
        <v>53</v>
      </c>
      <c r="L99" s="4" t="n">
        <v>47</v>
      </c>
      <c r="M99" s="4" t="n">
        <v>16</v>
      </c>
      <c r="N99" s="4" t="n">
        <v>5</v>
      </c>
      <c r="O99" s="5" t="s">
        <v>584</v>
      </c>
      <c r="P99" s="4" t="s">
        <v>381</v>
      </c>
      <c r="Q99" s="6" t="n">
        <v>27600</v>
      </c>
      <c r="R99" s="6" t="n">
        <v>327000</v>
      </c>
      <c r="S99" s="7" t="n">
        <f aca="false">IF(OR(Q99="",Q99=0,R99=""),"",R99/Q99)</f>
        <v>11.8478260869565</v>
      </c>
      <c r="T99" s="7" t="n">
        <v>9</v>
      </c>
      <c r="U99" s="6" t="n">
        <f aca="false">IF(OR(T99="",R99=""),"",R99/T99)</f>
        <v>36333.3333333333</v>
      </c>
      <c r="V99" s="7" t="n">
        <f aca="false">IF(OR(Q99="",Q99=0,U99=""),"",U99/Q99)</f>
        <v>1.31642512077295</v>
      </c>
      <c r="W99" s="8" t="s">
        <v>585</v>
      </c>
      <c r="X99" s="9" t="s">
        <v>57</v>
      </c>
      <c r="Y99" s="10"/>
      <c r="Z99" s="4"/>
      <c r="AA99" s="11" t="n">
        <f aca="false">IF(X99&lt;&gt;"Published",COUNTIF($X$2:X99,"&lt;&gt;Published"),"")</f>
        <v>98</v>
      </c>
    </row>
    <row r="100" customFormat="false" ht="26.85" hidden="false" customHeight="false" outlineLevel="0" collapsed="false">
      <c r="A100" s="4" t="n">
        <v>99</v>
      </c>
      <c r="B100" s="4" t="n">
        <f aca="false">ROUNDUP(A100/3,0)</f>
        <v>33</v>
      </c>
      <c r="C100" s="4" t="s">
        <v>586</v>
      </c>
      <c r="D100" s="4" t="s">
        <v>264</v>
      </c>
      <c r="E100" s="4" t="n">
        <v>30</v>
      </c>
      <c r="F100" s="5" t="s">
        <v>587</v>
      </c>
      <c r="G100" s="5" t="s">
        <v>588</v>
      </c>
      <c r="H100" s="4" t="s">
        <v>50</v>
      </c>
      <c r="I100" s="4" t="s">
        <v>159</v>
      </c>
      <c r="J100" s="4" t="s">
        <v>563</v>
      </c>
      <c r="K100" s="4" t="s">
        <v>53</v>
      </c>
      <c r="L100" s="4" t="n">
        <v>35</v>
      </c>
      <c r="M100" s="4" t="n">
        <v>2</v>
      </c>
      <c r="N100" s="4" t="n">
        <v>1</v>
      </c>
      <c r="O100" s="5" t="s">
        <v>589</v>
      </c>
      <c r="P100" s="4" t="s">
        <v>390</v>
      </c>
      <c r="Q100" s="6" t="n">
        <v>29900</v>
      </c>
      <c r="R100" s="6" t="n">
        <v>245000</v>
      </c>
      <c r="S100" s="7" t="n">
        <f aca="false">IF(OR(Q100="",Q100=0,R100=""),"",R100/Q100)</f>
        <v>8.19397993311037</v>
      </c>
      <c r="T100" s="7" t="n">
        <v>4</v>
      </c>
      <c r="U100" s="6" t="n">
        <f aca="false">IF(OR(T100="",R100=""),"",R100/T100)</f>
        <v>61250</v>
      </c>
      <c r="V100" s="7" t="n">
        <f aca="false">IF(OR(Q100="",Q100=0,U100=""),"",U100/Q100)</f>
        <v>2.04849498327759</v>
      </c>
      <c r="W100" s="8" t="s">
        <v>590</v>
      </c>
      <c r="X100" s="9" t="s">
        <v>57</v>
      </c>
      <c r="Y100" s="10"/>
      <c r="Z100" s="4"/>
      <c r="AA100" s="11" t="n">
        <f aca="false">IF(X100&lt;&gt;"Published",COUNTIF($X$2:X100,"&lt;&gt;Published"),"")</f>
        <v>99</v>
      </c>
    </row>
    <row r="101" customFormat="false" ht="15" hidden="false" customHeight="false" outlineLevel="0" collapsed="false">
      <c r="A101" s="4" t="n">
        <v>100</v>
      </c>
      <c r="B101" s="4" t="n">
        <f aca="false">ROUNDUP(A101/3,0)</f>
        <v>34</v>
      </c>
      <c r="C101" s="4" t="s">
        <v>591</v>
      </c>
      <c r="D101" s="4" t="s">
        <v>264</v>
      </c>
      <c r="E101" s="4" t="n">
        <v>31</v>
      </c>
      <c r="F101" s="5" t="s">
        <v>592</v>
      </c>
      <c r="G101" s="5" t="s">
        <v>593</v>
      </c>
      <c r="H101" s="4" t="s">
        <v>187</v>
      </c>
      <c r="I101" s="4" t="s">
        <v>259</v>
      </c>
      <c r="J101" s="4" t="s">
        <v>594</v>
      </c>
      <c r="K101" s="4" t="s">
        <v>63</v>
      </c>
      <c r="L101" s="4" t="n">
        <v>4</v>
      </c>
      <c r="M101" s="4" t="n">
        <v>1</v>
      </c>
      <c r="N101" s="4" t="n">
        <v>0</v>
      </c>
      <c r="O101" s="5" t="s">
        <v>595</v>
      </c>
      <c r="P101" s="4" t="s">
        <v>268</v>
      </c>
      <c r="Q101" s="6" t="n">
        <v>12100</v>
      </c>
      <c r="R101" s="6" t="n">
        <v>31000</v>
      </c>
      <c r="S101" s="7" t="n">
        <f aca="false">IF(OR(Q101="",Q101=0,R101=""),"",R101/Q101)</f>
        <v>2.56198347107438</v>
      </c>
      <c r="T101" s="7" t="n">
        <v>4</v>
      </c>
      <c r="U101" s="6" t="n">
        <f aca="false">IF(OR(T101="",R101=""),"",R101/T101)</f>
        <v>7750</v>
      </c>
      <c r="V101" s="7" t="n">
        <f aca="false">IF(OR(Q101="",Q101=0,U101=""),"",U101/Q101)</f>
        <v>0.640495867768595</v>
      </c>
      <c r="W101" s="8" t="s">
        <v>596</v>
      </c>
      <c r="X101" s="9" t="s">
        <v>57</v>
      </c>
      <c r="Y101" s="10"/>
      <c r="Z101" s="4"/>
      <c r="AA101" s="11" t="n">
        <f aca="false">IF(X101&lt;&gt;"Published",COUNTIF($X$2:X101,"&lt;&gt;Published"),"")</f>
        <v>100</v>
      </c>
    </row>
    <row r="103" customFormat="false" ht="15" hidden="false" customHeight="false" outlineLevel="0" collapsed="false">
      <c r="A103" s="12" t="s">
        <v>597</v>
      </c>
    </row>
  </sheetData>
  <autoFilter ref="A1:Z101"/>
  <conditionalFormatting sqref="K2:K101">
    <cfRule type="cellIs" priority="2" operator="equal" aboveAverage="0" equalAverage="0" bottom="0" percent="0" rank="0" text="" dxfId="8">
      <formula>"High"</formula>
    </cfRule>
    <cfRule type="cellIs" priority="3" operator="equal" aboveAverage="0" equalAverage="0" bottom="0" percent="0" rank="0" text="" dxfId="9">
      <formula>"Medium"</formula>
    </cfRule>
    <cfRule type="cellIs" priority="4" operator="equal" aboveAverage="0" equalAverage="0" bottom="0" percent="0" rank="0" text="" dxfId="10">
      <formula>"Low"</formula>
    </cfRule>
  </conditionalFormatting>
  <conditionalFormatting sqref="X2:X101">
    <cfRule type="cellIs" priority="5" operator="equal" aboveAverage="0" equalAverage="0" bottom="0" percent="0" rank="0" text="" dxfId="8">
      <formula>"Published"</formula>
    </cfRule>
  </conditionalFormatting>
  <dataValidations count="1">
    <dataValidation allowBlank="true" errorStyle="stop" operator="between" showDropDown="false" showErrorMessage="false" showInputMessage="false" sqref="X2:X101" type="list">
      <formula1>"Planned,Scripted,Audio done,Rendered,Published"</formula1>
      <formula2>0</formula2>
    </dataValidation>
  </dataValidations>
  <hyperlinks>
    <hyperlink ref="W2" r:id="rId1" display="https://youtu.be/RgnWMBpQPXk"/>
    <hyperlink ref="W3" r:id="rId2" display="https://youtu.be/HKvP2ESjJbA"/>
    <hyperlink ref="W4" r:id="rId3" display="https://youtu.be/wY4TAheBsj4"/>
    <hyperlink ref="W5" r:id="rId4" display="https://youtu.be/MI2xCwBekX4"/>
    <hyperlink ref="W6" r:id="rId5" display="https://youtu.be/wY4TAheBsj4"/>
    <hyperlink ref="W7" r:id="rId6" display="https://youtu.be/CK_U4OrXiXI"/>
    <hyperlink ref="W8" r:id="rId7" display="https://youtu.be/1b857qTFTgw"/>
    <hyperlink ref="W9" r:id="rId8" display="https://youtu.be/GIpOcHNK7eQ"/>
    <hyperlink ref="W10" r:id="rId9" display="https://youtu.be/Zx6bizDdkRE"/>
    <hyperlink ref="W11" r:id="rId10" display="https://youtu.be/53BPf9JrFcU"/>
    <hyperlink ref="W12" r:id="rId11" display="https://youtu.be/Ww_aQqWZhz8"/>
    <hyperlink ref="W13" r:id="rId12" display="https://youtu.be/Ii_MCo6RodA"/>
    <hyperlink ref="W14" r:id="rId13" display="https://youtu.be/qt9LlujnLAs"/>
    <hyperlink ref="W15" r:id="rId14" display="https://youtu.be/gtCswEF3bho"/>
    <hyperlink ref="W16" r:id="rId15" display="https://youtu.be/OcznDjdY46k"/>
    <hyperlink ref="W17" r:id="rId16" display="https://youtu.be/-Fd6Ates4Gs"/>
    <hyperlink ref="W18" r:id="rId17" display="https://youtu.be/OpcznwRgUaY"/>
    <hyperlink ref="W19" r:id="rId18" display="https://youtu.be/H4fwoVUltl4"/>
    <hyperlink ref="W20" r:id="rId19" display="https://youtu.be/qDnBvZOfFrs"/>
    <hyperlink ref="W21" r:id="rId20" display="https://youtu.be/C4UymmEi3Kw"/>
    <hyperlink ref="W22" r:id="rId21" display="https://youtu.be/rtEk1at3sVk"/>
    <hyperlink ref="W23" r:id="rId22" display="https://youtu.be/FmLOWvfF_ww"/>
    <hyperlink ref="W24" r:id="rId23" display="https://youtu.be/XIZxlNvAAjo"/>
    <hyperlink ref="W25" r:id="rId24" display="https://youtu.be/Ef3CNDTAuBM"/>
    <hyperlink ref="W26" r:id="rId25" display="https://youtu.be/QL4_4GAWvPs"/>
    <hyperlink ref="W27" r:id="rId26" display="https://youtu.be/vKBNzM3V-Rc"/>
    <hyperlink ref="W28" r:id="rId27" display="https://youtu.be/-pXnfzQfupE"/>
    <hyperlink ref="W29" r:id="rId28" display="https://youtu.be/Sv7VseMsOQc"/>
    <hyperlink ref="W30" r:id="rId29" display="https://youtu.be/rYq319AOT9E"/>
    <hyperlink ref="W31" r:id="rId30" display="https://youtu.be/7R-AIrWfeH8"/>
    <hyperlink ref="W33" r:id="rId31" display="https://youtu.be/sYkojeGZ_vE"/>
    <hyperlink ref="W34" r:id="rId32" display="https://youtu.be/PMldTftChtQ"/>
    <hyperlink ref="W35" r:id="rId33" display="https://youtu.be/eoXn6nwV694"/>
    <hyperlink ref="W36" r:id="rId34" display="https://youtu.be/diOh7onaIjA"/>
    <hyperlink ref="W37" r:id="rId35" display="https://youtu.be/pIy8xqh9sWs"/>
    <hyperlink ref="W38" r:id="rId36" display="https://youtu.be/it4qnGcXals"/>
    <hyperlink ref="W39" r:id="rId37" display="https://youtu.be/P1s16tvCLTw"/>
    <hyperlink ref="W40" r:id="rId38" display="https://youtu.be/EIrsmnodNOM"/>
    <hyperlink ref="W41" r:id="rId39" display="https://youtu.be/UdADuHJUX6Q"/>
    <hyperlink ref="W42" r:id="rId40" display="https://youtu.be/dnGJoOHfDBo"/>
    <hyperlink ref="W43" r:id="rId41" display="https://youtu.be/T0Xn-92j2EU"/>
    <hyperlink ref="W44" r:id="rId42" display="https://youtu.be/3jP4H0kjtng"/>
    <hyperlink ref="W45" r:id="rId43" display="https://youtu.be/3jP4H0kjtng"/>
    <hyperlink ref="W46" r:id="rId44" display="https://youtu.be/ue3yoeZvt8E"/>
    <hyperlink ref="W47" r:id="rId45" display="https://youtu.be/dHdg1yn1SgE"/>
    <hyperlink ref="W48" r:id="rId46" display="https://youtu.be/Zf1MLaWIOfQ"/>
    <hyperlink ref="W49" r:id="rId47" display="https://youtu.be/F4Edh2S_I-Q"/>
    <hyperlink ref="W50" r:id="rId48" display="https://youtu.be/_v9xa2ohzIk"/>
    <hyperlink ref="W51" r:id="rId49" display="https://youtu.be/E0YUvCqhr-c"/>
    <hyperlink ref="W52" r:id="rId50" display="https://youtu.be/lHCpYeFvTs0"/>
    <hyperlink ref="W53" r:id="rId51" display="https://youtu.be/ASYKt0P7I9c"/>
    <hyperlink ref="W54" r:id="rId52" display="https://youtu.be/nKBun2JmqlE"/>
    <hyperlink ref="W55" r:id="rId53" display="https://youtu.be/hvGf1X-p6PM"/>
    <hyperlink ref="W56" r:id="rId54" display="https://youtu.be/KDw3hC2YNFc"/>
    <hyperlink ref="W57" r:id="rId55" display="https://youtu.be/UO_dgXa5szg"/>
    <hyperlink ref="W58" r:id="rId56" display="https://youtu.be/3EZbX2ftCUk"/>
    <hyperlink ref="W59" r:id="rId57" display="https://youtu.be/KzT9I1d-LlQ"/>
    <hyperlink ref="W60" r:id="rId58" display="https://youtu.be/n8YcOUZRZy8"/>
    <hyperlink ref="W61" r:id="rId59" display="https://youtu.be/UO_dgXa5szg"/>
    <hyperlink ref="W62" r:id="rId60" display="https://youtu.be/3VYupIsbLlY"/>
    <hyperlink ref="W63" r:id="rId61" display="https://youtu.be/i3AkTO9HLXo"/>
    <hyperlink ref="W64" r:id="rId62" display="https://youtu.be/FYRnJh4PH3E"/>
    <hyperlink ref="W65" r:id="rId63" display="https://youtu.be/d0Z8wLLPNE0"/>
    <hyperlink ref="W66" r:id="rId64" display="https://youtu.be/oPQ4mNcqY7k"/>
    <hyperlink ref="W67" r:id="rId65" display="https://youtu.be/5sgJsCah9bs"/>
    <hyperlink ref="W68" r:id="rId66" display="https://youtu.be/i3AkTO9HLXo"/>
    <hyperlink ref="W69" r:id="rId67" display="https://youtu.be/3e5BUrtUKZc"/>
    <hyperlink ref="W70" r:id="rId68" display="https://youtu.be/slbZ-SLpIgg"/>
    <hyperlink ref="W71" r:id="rId69" display="https://youtu.be/jTY32VgmWPI"/>
    <hyperlink ref="W72" r:id="rId70" display="https://youtu.be/be9e-Q-jC-0"/>
    <hyperlink ref="W73" r:id="rId71" display="https://youtu.be/eF2YEgipJTk"/>
    <hyperlink ref="W74" r:id="rId72" display="https://youtu.be/WI0ZLkxJ6Zk"/>
    <hyperlink ref="W75" r:id="rId73" display="https://youtu.be/hZxnzfnt5v8"/>
    <hyperlink ref="W76" r:id="rId74" display="https://youtu.be/mhy-ZKSARxI"/>
    <hyperlink ref="W77" r:id="rId75" display="https://youtu.be/xmlmL1-4oPE"/>
    <hyperlink ref="W78" r:id="rId76" display="https://youtu.be/EJLympg3XMM"/>
    <hyperlink ref="W79" r:id="rId77" display="https://youtu.be/tFWsuO9f74o"/>
    <hyperlink ref="W80" r:id="rId78" display="https://youtu.be/CpD9XlTu3ys"/>
    <hyperlink ref="W81" r:id="rId79" display="https://youtu.be/0zZYBALbZgg"/>
    <hyperlink ref="W82" r:id="rId80" display="https://youtu.be/EJLympg3XMM"/>
    <hyperlink ref="W83" r:id="rId81" display="https://youtu.be/eyknGvncKLw"/>
    <hyperlink ref="W84" r:id="rId82" display="https://youtu.be/S51bTyIwxFs"/>
    <hyperlink ref="W85" r:id="rId83" display="https://youtu.be/0zZYBALbZgg"/>
    <hyperlink ref="W86" r:id="rId84" display="https://youtu.be/NQFAxV6kdB8"/>
    <hyperlink ref="W87" r:id="rId85" display="https://youtu.be/edzQQFNzFjM"/>
    <hyperlink ref="W88" r:id="rId86" display="https://youtu.be/DCoR7n5J_QM"/>
    <hyperlink ref="W89" r:id="rId87" display="https://youtu.be/YllG5Cy6OFw"/>
    <hyperlink ref="W90" r:id="rId88" display="https://youtu.be/VZiLpYC0t5E"/>
    <hyperlink ref="W91" r:id="rId89" display="https://youtu.be/TyD-_1JUhxw"/>
    <hyperlink ref="W92" r:id="rId90" display="https://youtu.be/dnzUgDl43rQ"/>
    <hyperlink ref="W93" r:id="rId91" display="https://youtu.be/rulIUAN0U3w"/>
    <hyperlink ref="W94" r:id="rId92" display="https://youtu.be/q-ESzg03mQc"/>
    <hyperlink ref="W95" r:id="rId93" display="https://youtu.be/3dhcmeOTZ_Q"/>
    <hyperlink ref="W96" r:id="rId94" display="https://youtu.be/3dhcmeOTZ_Q"/>
    <hyperlink ref="W97" r:id="rId95" display="https://youtu.be/KDw3hC2YNFc"/>
    <hyperlink ref="W98" r:id="rId96" display="https://youtu.be/IGBm-gZryVI"/>
    <hyperlink ref="W99" r:id="rId97" display="https://youtu.be/93fPFOf547Q"/>
    <hyperlink ref="W100" r:id="rId98" display="https://youtu.be/EKm0spFxFG4"/>
    <hyperlink ref="W101" r:id="rId99" display="https://youtu.be/Xy4CLCpqUB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5" min="3" style="0" width="55"/>
  </cols>
  <sheetData>
    <row r="1" customFormat="false" ht="15" hidden="false" customHeight="false" outlineLevel="0" collapsed="false">
      <c r="A1" s="3" t="s">
        <v>20</v>
      </c>
      <c r="B1" s="3" t="s">
        <v>598</v>
      </c>
      <c r="C1" s="3" t="s">
        <v>599</v>
      </c>
      <c r="D1" s="3" t="s">
        <v>600</v>
      </c>
      <c r="E1" s="3" t="s">
        <v>601</v>
      </c>
    </row>
    <row r="2" customFormat="false" ht="26.85" hidden="false" customHeight="false" outlineLevel="0" collapsed="false">
      <c r="A2" s="4" t="n">
        <v>1</v>
      </c>
      <c r="B2" s="4" t="s">
        <v>602</v>
      </c>
      <c r="C2" s="5" t="s">
        <v>603</v>
      </c>
      <c r="D2" s="5" t="s">
        <v>604</v>
      </c>
      <c r="E2" s="5" t="s">
        <v>605</v>
      </c>
    </row>
    <row r="3" customFormat="false" ht="26.85" hidden="false" customHeight="false" outlineLevel="0" collapsed="false">
      <c r="A3" s="4" t="n">
        <v>2</v>
      </c>
      <c r="B3" s="4" t="s">
        <v>602</v>
      </c>
      <c r="C3" s="5" t="s">
        <v>606</v>
      </c>
      <c r="D3" s="5" t="s">
        <v>607</v>
      </c>
      <c r="E3" s="5" t="s">
        <v>608</v>
      </c>
    </row>
    <row r="4" customFormat="false" ht="26.85" hidden="false" customHeight="false" outlineLevel="0" collapsed="false">
      <c r="A4" s="4" t="n">
        <v>3</v>
      </c>
      <c r="B4" s="4" t="s">
        <v>602</v>
      </c>
      <c r="C4" s="5" t="s">
        <v>609</v>
      </c>
      <c r="D4" s="5" t="s">
        <v>610</v>
      </c>
      <c r="E4" s="5" t="s">
        <v>611</v>
      </c>
    </row>
    <row r="5" customFormat="false" ht="26.85" hidden="false" customHeight="false" outlineLevel="0" collapsed="false">
      <c r="A5" s="4" t="n">
        <v>4</v>
      </c>
      <c r="B5" s="4" t="s">
        <v>602</v>
      </c>
      <c r="C5" s="5" t="s">
        <v>612</v>
      </c>
      <c r="D5" s="5" t="s">
        <v>613</v>
      </c>
      <c r="E5" s="5" t="s">
        <v>614</v>
      </c>
    </row>
    <row r="6" customFormat="false" ht="26.85" hidden="false" customHeight="false" outlineLevel="0" collapsed="false">
      <c r="A6" s="4" t="n">
        <v>5</v>
      </c>
      <c r="B6" s="4" t="s">
        <v>602</v>
      </c>
      <c r="C6" s="5" t="s">
        <v>615</v>
      </c>
      <c r="D6" s="5" t="s">
        <v>616</v>
      </c>
      <c r="E6" s="5" t="s">
        <v>617</v>
      </c>
    </row>
    <row r="7" customFormat="false" ht="26.85" hidden="false" customHeight="false" outlineLevel="0" collapsed="false">
      <c r="A7" s="4" t="n">
        <v>6</v>
      </c>
      <c r="B7" s="4" t="s">
        <v>602</v>
      </c>
      <c r="C7" s="5" t="s">
        <v>618</v>
      </c>
      <c r="D7" s="5" t="s">
        <v>619</v>
      </c>
      <c r="E7" s="5" t="s">
        <v>620</v>
      </c>
    </row>
    <row r="8" customFormat="false" ht="26.85" hidden="false" customHeight="false" outlineLevel="0" collapsed="false">
      <c r="A8" s="4" t="n">
        <v>7</v>
      </c>
      <c r="B8" s="4" t="s">
        <v>602</v>
      </c>
      <c r="C8" s="5" t="s">
        <v>621</v>
      </c>
      <c r="D8" s="5" t="s">
        <v>622</v>
      </c>
      <c r="E8" s="5" t="s">
        <v>623</v>
      </c>
    </row>
    <row r="9" customFormat="false" ht="26.85" hidden="false" customHeight="false" outlineLevel="0" collapsed="false">
      <c r="A9" s="4" t="n">
        <v>8</v>
      </c>
      <c r="B9" s="4" t="s">
        <v>602</v>
      </c>
      <c r="C9" s="5" t="s">
        <v>624</v>
      </c>
      <c r="D9" s="5" t="s">
        <v>625</v>
      </c>
      <c r="E9" s="5" t="s">
        <v>626</v>
      </c>
    </row>
    <row r="10" customFormat="false" ht="26.85" hidden="false" customHeight="false" outlineLevel="0" collapsed="false">
      <c r="A10" s="4" t="n">
        <v>9</v>
      </c>
      <c r="B10" s="4" t="s">
        <v>627</v>
      </c>
      <c r="C10" s="5" t="s">
        <v>628</v>
      </c>
      <c r="D10" s="5" t="s">
        <v>629</v>
      </c>
      <c r="E10" s="5" t="s">
        <v>630</v>
      </c>
    </row>
    <row r="11" customFormat="false" ht="26.85" hidden="false" customHeight="false" outlineLevel="0" collapsed="false">
      <c r="A11" s="4" t="n">
        <v>10</v>
      </c>
      <c r="B11" s="4" t="s">
        <v>631</v>
      </c>
      <c r="C11" s="5" t="s">
        <v>632</v>
      </c>
      <c r="D11" s="5" t="s">
        <v>633</v>
      </c>
      <c r="E11" s="5" t="s">
        <v>634</v>
      </c>
    </row>
    <row r="12" customFormat="false" ht="15" hidden="false" customHeight="false" outlineLevel="0" collapsed="false">
      <c r="A12" s="4" t="n">
        <v>11</v>
      </c>
      <c r="B12" s="4" t="s">
        <v>631</v>
      </c>
      <c r="C12" s="5" t="s">
        <v>635</v>
      </c>
      <c r="D12" s="5" t="s">
        <v>636</v>
      </c>
      <c r="E12" s="5" t="s">
        <v>637</v>
      </c>
    </row>
    <row r="13" customFormat="false" ht="26.85" hidden="false" customHeight="false" outlineLevel="0" collapsed="false">
      <c r="A13" s="4" t="n">
        <v>12</v>
      </c>
      <c r="B13" s="4" t="s">
        <v>631</v>
      </c>
      <c r="C13" s="5" t="s">
        <v>638</v>
      </c>
      <c r="D13" s="5" t="s">
        <v>639</v>
      </c>
      <c r="E13" s="5" t="s">
        <v>640</v>
      </c>
    </row>
    <row r="14" customFormat="false" ht="26.85" hidden="false" customHeight="false" outlineLevel="0" collapsed="false">
      <c r="A14" s="4" t="n">
        <v>13</v>
      </c>
      <c r="B14" s="4" t="s">
        <v>641</v>
      </c>
      <c r="C14" s="5" t="s">
        <v>642</v>
      </c>
      <c r="D14" s="5" t="s">
        <v>643</v>
      </c>
      <c r="E14" s="5" t="s">
        <v>644</v>
      </c>
    </row>
    <row r="15" customFormat="false" ht="26.85" hidden="false" customHeight="false" outlineLevel="0" collapsed="false">
      <c r="A15" s="4" t="n">
        <v>14</v>
      </c>
      <c r="B15" s="4" t="s">
        <v>645</v>
      </c>
      <c r="C15" s="5" t="s">
        <v>646</v>
      </c>
      <c r="D15" s="5" t="s">
        <v>647</v>
      </c>
      <c r="E15" s="5" t="s">
        <v>648</v>
      </c>
    </row>
    <row r="16" customFormat="false" ht="26.85" hidden="false" customHeight="false" outlineLevel="0" collapsed="false">
      <c r="A16" s="4" t="n">
        <v>15</v>
      </c>
      <c r="B16" s="4" t="s">
        <v>645</v>
      </c>
      <c r="C16" s="5" t="s">
        <v>649</v>
      </c>
      <c r="D16" s="5" t="s">
        <v>650</v>
      </c>
      <c r="E16" s="5" t="s">
        <v>651</v>
      </c>
    </row>
    <row r="17" customFormat="false" ht="26.85" hidden="false" customHeight="false" outlineLevel="0" collapsed="false">
      <c r="A17" s="4" t="n">
        <v>16</v>
      </c>
      <c r="B17" s="4" t="s">
        <v>645</v>
      </c>
      <c r="C17" s="5" t="s">
        <v>652</v>
      </c>
      <c r="D17" s="5" t="s">
        <v>653</v>
      </c>
      <c r="E17" s="5" t="s">
        <v>654</v>
      </c>
    </row>
    <row r="18" customFormat="false" ht="26.85" hidden="false" customHeight="false" outlineLevel="0" collapsed="false">
      <c r="A18" s="4" t="n">
        <v>17</v>
      </c>
      <c r="B18" s="4" t="s">
        <v>645</v>
      </c>
      <c r="C18" s="5" t="s">
        <v>655</v>
      </c>
      <c r="D18" s="5" t="s">
        <v>656</v>
      </c>
      <c r="E18" s="5" t="s">
        <v>657</v>
      </c>
    </row>
    <row r="19" customFormat="false" ht="26.85" hidden="false" customHeight="false" outlineLevel="0" collapsed="false">
      <c r="A19" s="4" t="n">
        <v>18</v>
      </c>
      <c r="B19" s="4" t="s">
        <v>645</v>
      </c>
      <c r="C19" s="5" t="s">
        <v>658</v>
      </c>
      <c r="D19" s="5" t="s">
        <v>659</v>
      </c>
      <c r="E19" s="5" t="s">
        <v>660</v>
      </c>
    </row>
    <row r="20" customFormat="false" ht="26.85" hidden="false" customHeight="false" outlineLevel="0" collapsed="false">
      <c r="A20" s="4" t="n">
        <v>19</v>
      </c>
      <c r="B20" s="4" t="s">
        <v>645</v>
      </c>
      <c r="C20" s="5" t="s">
        <v>661</v>
      </c>
      <c r="D20" s="5" t="s">
        <v>662</v>
      </c>
      <c r="E20" s="5" t="s">
        <v>663</v>
      </c>
    </row>
    <row r="21" customFormat="false" ht="26.85" hidden="false" customHeight="false" outlineLevel="0" collapsed="false">
      <c r="A21" s="4" t="n">
        <v>20</v>
      </c>
      <c r="B21" s="4" t="s">
        <v>645</v>
      </c>
      <c r="C21" s="5" t="s">
        <v>664</v>
      </c>
      <c r="D21" s="5" t="s">
        <v>665</v>
      </c>
      <c r="E21" s="5" t="s">
        <v>666</v>
      </c>
    </row>
    <row r="22" customFormat="false" ht="26.85" hidden="false" customHeight="false" outlineLevel="0" collapsed="false">
      <c r="A22" s="4" t="n">
        <v>21</v>
      </c>
      <c r="B22" s="4" t="s">
        <v>645</v>
      </c>
      <c r="C22" s="5" t="s">
        <v>667</v>
      </c>
      <c r="D22" s="5" t="s">
        <v>668</v>
      </c>
      <c r="E22" s="5" t="s">
        <v>669</v>
      </c>
    </row>
    <row r="23" customFormat="false" ht="26.85" hidden="false" customHeight="false" outlineLevel="0" collapsed="false">
      <c r="A23" s="4" t="n">
        <v>22</v>
      </c>
      <c r="B23" s="4" t="s">
        <v>645</v>
      </c>
      <c r="C23" s="5" t="s">
        <v>670</v>
      </c>
      <c r="D23" s="5" t="s">
        <v>671</v>
      </c>
      <c r="E23" s="5" t="s">
        <v>672</v>
      </c>
    </row>
    <row r="24" customFormat="false" ht="26.85" hidden="false" customHeight="false" outlineLevel="0" collapsed="false">
      <c r="A24" s="4" t="n">
        <v>23</v>
      </c>
      <c r="B24" s="4" t="s">
        <v>645</v>
      </c>
      <c r="C24" s="5" t="s">
        <v>673</v>
      </c>
      <c r="D24" s="5" t="s">
        <v>674</v>
      </c>
      <c r="E24" s="5" t="s">
        <v>675</v>
      </c>
    </row>
    <row r="25" customFormat="false" ht="26.85" hidden="false" customHeight="false" outlineLevel="0" collapsed="false">
      <c r="A25" s="4" t="n">
        <v>24</v>
      </c>
      <c r="B25" s="4" t="s">
        <v>645</v>
      </c>
      <c r="C25" s="5" t="s">
        <v>676</v>
      </c>
      <c r="D25" s="5" t="s">
        <v>677</v>
      </c>
      <c r="E25" s="5" t="s">
        <v>678</v>
      </c>
    </row>
    <row r="26" customFormat="false" ht="26.85" hidden="false" customHeight="false" outlineLevel="0" collapsed="false">
      <c r="A26" s="4" t="n">
        <v>25</v>
      </c>
      <c r="B26" s="4" t="s">
        <v>645</v>
      </c>
      <c r="C26" s="5" t="s">
        <v>679</v>
      </c>
      <c r="D26" s="5" t="s">
        <v>680</v>
      </c>
      <c r="E26" s="5" t="s">
        <v>681</v>
      </c>
    </row>
    <row r="27" customFormat="false" ht="26.85" hidden="false" customHeight="false" outlineLevel="0" collapsed="false">
      <c r="A27" s="4" t="n">
        <v>26</v>
      </c>
      <c r="B27" s="4" t="s">
        <v>645</v>
      </c>
      <c r="C27" s="5" t="s">
        <v>682</v>
      </c>
      <c r="D27" s="5" t="s">
        <v>683</v>
      </c>
      <c r="E27" s="5" t="s">
        <v>684</v>
      </c>
    </row>
    <row r="28" customFormat="false" ht="26.85" hidden="false" customHeight="false" outlineLevel="0" collapsed="false">
      <c r="A28" s="4" t="n">
        <v>27</v>
      </c>
      <c r="B28" s="4" t="s">
        <v>645</v>
      </c>
      <c r="C28" s="5" t="s">
        <v>685</v>
      </c>
      <c r="D28" s="5" t="s">
        <v>686</v>
      </c>
      <c r="E28" s="5" t="s">
        <v>687</v>
      </c>
    </row>
    <row r="29" customFormat="false" ht="26.85" hidden="false" customHeight="false" outlineLevel="0" collapsed="false">
      <c r="A29" s="4" t="n">
        <v>28</v>
      </c>
      <c r="B29" s="4" t="s">
        <v>645</v>
      </c>
      <c r="C29" s="5" t="s">
        <v>688</v>
      </c>
      <c r="D29" s="5" t="s">
        <v>689</v>
      </c>
      <c r="E29" s="5" t="s">
        <v>690</v>
      </c>
    </row>
    <row r="30" customFormat="false" ht="26.85" hidden="false" customHeight="false" outlineLevel="0" collapsed="false">
      <c r="A30" s="4" t="n">
        <v>29</v>
      </c>
      <c r="B30" s="4" t="s">
        <v>645</v>
      </c>
      <c r="C30" s="5" t="s">
        <v>691</v>
      </c>
      <c r="D30" s="5" t="s">
        <v>692</v>
      </c>
      <c r="E30" s="5" t="s">
        <v>693</v>
      </c>
    </row>
    <row r="31" customFormat="false" ht="26.85" hidden="false" customHeight="false" outlineLevel="0" collapsed="false">
      <c r="A31" s="4" t="n">
        <v>30</v>
      </c>
      <c r="B31" s="4" t="s">
        <v>645</v>
      </c>
      <c r="C31" s="5" t="s">
        <v>694</v>
      </c>
      <c r="D31" s="5" t="s">
        <v>695</v>
      </c>
      <c r="E31" s="5" t="s">
        <v>696</v>
      </c>
    </row>
    <row r="32" customFormat="false" ht="26.85" hidden="false" customHeight="false" outlineLevel="0" collapsed="false">
      <c r="A32" s="4" t="n">
        <v>31</v>
      </c>
      <c r="B32" s="4" t="s">
        <v>645</v>
      </c>
      <c r="C32" s="5" t="s">
        <v>697</v>
      </c>
      <c r="D32" s="5" t="s">
        <v>698</v>
      </c>
      <c r="E32" s="5" t="s">
        <v>699</v>
      </c>
    </row>
    <row r="33" customFormat="false" ht="26.85" hidden="false" customHeight="false" outlineLevel="0" collapsed="false">
      <c r="A33" s="4" t="n">
        <v>32</v>
      </c>
      <c r="B33" s="4" t="s">
        <v>645</v>
      </c>
      <c r="C33" s="5" t="s">
        <v>700</v>
      </c>
      <c r="D33" s="5" t="s">
        <v>701</v>
      </c>
      <c r="E33" s="5" t="s">
        <v>702</v>
      </c>
    </row>
    <row r="34" customFormat="false" ht="26.85" hidden="false" customHeight="false" outlineLevel="0" collapsed="false">
      <c r="A34" s="4" t="n">
        <v>33</v>
      </c>
      <c r="B34" s="4" t="s">
        <v>645</v>
      </c>
      <c r="C34" s="5" t="s">
        <v>703</v>
      </c>
      <c r="D34" s="5" t="s">
        <v>704</v>
      </c>
      <c r="E34" s="5" t="s">
        <v>705</v>
      </c>
    </row>
    <row r="35" customFormat="false" ht="15" hidden="false" customHeight="false" outlineLevel="0" collapsed="false">
      <c r="A35" s="4" t="n">
        <v>34</v>
      </c>
      <c r="B35" s="4" t="s">
        <v>706</v>
      </c>
      <c r="C35" s="5" t="s">
        <v>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8"/>
    <col collapsed="false" customWidth="true" hidden="false" outlineLevel="0" max="4" min="4" style="0" width="58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10" min="9" style="0" width="10"/>
  </cols>
  <sheetData>
    <row r="1" customFormat="false" ht="39.55" hidden="false" customHeight="false" outlineLevel="0" collapsed="false">
      <c r="A1" s="3" t="s">
        <v>22</v>
      </c>
      <c r="B1" s="3" t="s">
        <v>23</v>
      </c>
      <c r="C1" s="3" t="s">
        <v>21</v>
      </c>
      <c r="D1" s="3" t="s">
        <v>25</v>
      </c>
      <c r="E1" s="3" t="s">
        <v>708</v>
      </c>
      <c r="F1" s="3" t="s">
        <v>26</v>
      </c>
      <c r="G1" s="3" t="s">
        <v>709</v>
      </c>
      <c r="H1" s="3" t="s">
        <v>28</v>
      </c>
      <c r="I1" s="3" t="s">
        <v>29</v>
      </c>
      <c r="J1" s="3" t="s">
        <v>710</v>
      </c>
    </row>
    <row r="2" customFormat="false" ht="26.85" hidden="false" customHeight="false" outlineLevel="0" collapsed="false">
      <c r="A2" s="4" t="s">
        <v>47</v>
      </c>
      <c r="B2" s="4" t="n">
        <v>1</v>
      </c>
      <c r="C2" s="4" t="s">
        <v>46</v>
      </c>
      <c r="D2" s="5" t="s">
        <v>49</v>
      </c>
      <c r="E2" s="5" t="s">
        <v>48</v>
      </c>
      <c r="F2" s="4" t="s">
        <v>50</v>
      </c>
      <c r="G2" s="4" t="s">
        <v>51</v>
      </c>
      <c r="H2" s="4" t="s">
        <v>52</v>
      </c>
      <c r="I2" s="4" t="s">
        <v>53</v>
      </c>
      <c r="J2" s="4" t="n">
        <v>1</v>
      </c>
    </row>
    <row r="3" customFormat="false" ht="26.85" hidden="false" customHeight="false" outlineLevel="0" collapsed="false">
      <c r="A3" s="4" t="s">
        <v>47</v>
      </c>
      <c r="B3" s="4" t="n">
        <v>2</v>
      </c>
      <c r="C3" s="4" t="s">
        <v>67</v>
      </c>
      <c r="D3" s="5" t="s">
        <v>68</v>
      </c>
      <c r="E3" s="5" t="s">
        <v>48</v>
      </c>
      <c r="F3" s="4" t="s">
        <v>50</v>
      </c>
      <c r="G3" s="4" t="s">
        <v>69</v>
      </c>
      <c r="H3" s="4" t="s">
        <v>46</v>
      </c>
      <c r="I3" s="4" t="s">
        <v>63</v>
      </c>
      <c r="J3" s="4" t="n">
        <v>3</v>
      </c>
    </row>
    <row r="4" customFormat="false" ht="26.85" hidden="false" customHeight="false" outlineLevel="0" collapsed="false">
      <c r="A4" s="4" t="s">
        <v>47</v>
      </c>
      <c r="B4" s="4" t="n">
        <v>3</v>
      </c>
      <c r="C4" s="4" t="s">
        <v>78</v>
      </c>
      <c r="D4" s="5" t="s">
        <v>80</v>
      </c>
      <c r="E4" s="5" t="s">
        <v>79</v>
      </c>
      <c r="F4" s="4" t="s">
        <v>50</v>
      </c>
      <c r="G4" s="4" t="s">
        <v>51</v>
      </c>
      <c r="H4" s="4" t="s">
        <v>67</v>
      </c>
      <c r="I4" s="4" t="s">
        <v>63</v>
      </c>
      <c r="J4" s="4" t="n">
        <v>5</v>
      </c>
    </row>
    <row r="5" customFormat="false" ht="26.85" hidden="false" customHeight="false" outlineLevel="0" collapsed="false">
      <c r="A5" s="4" t="s">
        <v>47</v>
      </c>
      <c r="B5" s="4" t="n">
        <v>4</v>
      </c>
      <c r="C5" s="4" t="s">
        <v>88</v>
      </c>
      <c r="D5" s="5" t="s">
        <v>90</v>
      </c>
      <c r="E5" s="5" t="s">
        <v>89</v>
      </c>
      <c r="F5" s="4" t="s">
        <v>50</v>
      </c>
      <c r="G5" s="4" t="s">
        <v>51</v>
      </c>
      <c r="H5" s="4" t="s">
        <v>78</v>
      </c>
      <c r="I5" s="4" t="s">
        <v>84</v>
      </c>
      <c r="J5" s="4" t="n">
        <v>7</v>
      </c>
    </row>
    <row r="6" customFormat="false" ht="26.85" hidden="false" customHeight="false" outlineLevel="0" collapsed="false">
      <c r="A6" s="4" t="s">
        <v>47</v>
      </c>
      <c r="B6" s="4" t="n">
        <v>5</v>
      </c>
      <c r="C6" s="4" t="s">
        <v>98</v>
      </c>
      <c r="D6" s="5" t="s">
        <v>100</v>
      </c>
      <c r="E6" s="5" t="s">
        <v>99</v>
      </c>
      <c r="F6" s="4" t="s">
        <v>50</v>
      </c>
      <c r="G6" s="4" t="s">
        <v>51</v>
      </c>
      <c r="H6" s="4" t="s">
        <v>52</v>
      </c>
      <c r="I6" s="4" t="s">
        <v>84</v>
      </c>
      <c r="J6" s="4" t="n">
        <v>9</v>
      </c>
    </row>
    <row r="7" customFormat="false" ht="26.85" hidden="false" customHeight="false" outlineLevel="0" collapsed="false">
      <c r="A7" s="4" t="s">
        <v>47</v>
      </c>
      <c r="B7" s="4" t="n">
        <v>6</v>
      </c>
      <c r="C7" s="4" t="s">
        <v>109</v>
      </c>
      <c r="D7" s="5" t="s">
        <v>111</v>
      </c>
      <c r="E7" s="5" t="s">
        <v>110</v>
      </c>
      <c r="F7" s="4" t="s">
        <v>50</v>
      </c>
      <c r="G7" s="4" t="s">
        <v>69</v>
      </c>
      <c r="H7" s="4" t="s">
        <v>98</v>
      </c>
      <c r="I7" s="4" t="s">
        <v>63</v>
      </c>
      <c r="J7" s="4" t="n">
        <v>11</v>
      </c>
    </row>
    <row r="8" customFormat="false" ht="26.85" hidden="false" customHeight="false" outlineLevel="0" collapsed="false">
      <c r="A8" s="4" t="s">
        <v>47</v>
      </c>
      <c r="B8" s="4" t="n">
        <v>7</v>
      </c>
      <c r="C8" s="4" t="s">
        <v>119</v>
      </c>
      <c r="D8" s="5" t="s">
        <v>121</v>
      </c>
      <c r="E8" s="5" t="s">
        <v>120</v>
      </c>
      <c r="F8" s="4" t="s">
        <v>50</v>
      </c>
      <c r="G8" s="4" t="s">
        <v>69</v>
      </c>
      <c r="H8" s="4" t="s">
        <v>98</v>
      </c>
      <c r="I8" s="4" t="s">
        <v>53</v>
      </c>
      <c r="J8" s="4" t="n">
        <v>13</v>
      </c>
    </row>
    <row r="9" customFormat="false" ht="26.85" hidden="false" customHeight="false" outlineLevel="0" collapsed="false">
      <c r="A9" s="4" t="s">
        <v>47</v>
      </c>
      <c r="B9" s="4" t="n">
        <v>8</v>
      </c>
      <c r="C9" s="4" t="s">
        <v>130</v>
      </c>
      <c r="D9" s="5" t="s">
        <v>131</v>
      </c>
      <c r="E9" s="5" t="s">
        <v>120</v>
      </c>
      <c r="F9" s="4" t="s">
        <v>50</v>
      </c>
      <c r="G9" s="4" t="s">
        <v>69</v>
      </c>
      <c r="H9" s="4" t="s">
        <v>119</v>
      </c>
      <c r="I9" s="4" t="s">
        <v>84</v>
      </c>
      <c r="J9" s="4" t="n">
        <v>15</v>
      </c>
    </row>
    <row r="10" customFormat="false" ht="26.85" hidden="false" customHeight="false" outlineLevel="0" collapsed="false">
      <c r="A10" s="4" t="s">
        <v>47</v>
      </c>
      <c r="B10" s="4" t="n">
        <v>9</v>
      </c>
      <c r="C10" s="4" t="s">
        <v>140</v>
      </c>
      <c r="D10" s="5" t="s">
        <v>142</v>
      </c>
      <c r="E10" s="5" t="s">
        <v>141</v>
      </c>
      <c r="F10" s="4" t="s">
        <v>50</v>
      </c>
      <c r="G10" s="4" t="s">
        <v>51</v>
      </c>
      <c r="H10" s="4" t="s">
        <v>98</v>
      </c>
      <c r="I10" s="4" t="s">
        <v>63</v>
      </c>
      <c r="J10" s="4" t="n">
        <v>17</v>
      </c>
    </row>
    <row r="11" customFormat="false" ht="26.85" hidden="false" customHeight="false" outlineLevel="0" collapsed="false">
      <c r="A11" s="4" t="s">
        <v>47</v>
      </c>
      <c r="B11" s="4" t="n">
        <v>10</v>
      </c>
      <c r="C11" s="4" t="s">
        <v>150</v>
      </c>
      <c r="D11" s="5" t="s">
        <v>152</v>
      </c>
      <c r="E11" s="5" t="s">
        <v>151</v>
      </c>
      <c r="F11" s="4" t="s">
        <v>50</v>
      </c>
      <c r="G11" s="4" t="s">
        <v>51</v>
      </c>
      <c r="H11" s="4" t="s">
        <v>140</v>
      </c>
      <c r="I11" s="4" t="s">
        <v>63</v>
      </c>
      <c r="J11" s="4" t="n">
        <v>19</v>
      </c>
    </row>
    <row r="12" customFormat="false" ht="26.85" hidden="false" customHeight="false" outlineLevel="0" collapsed="false">
      <c r="A12" s="4" t="s">
        <v>47</v>
      </c>
      <c r="B12" s="4" t="n">
        <v>11</v>
      </c>
      <c r="C12" s="4" t="s">
        <v>162</v>
      </c>
      <c r="D12" s="5" t="s">
        <v>164</v>
      </c>
      <c r="E12" s="5" t="s">
        <v>163</v>
      </c>
      <c r="F12" s="4" t="s">
        <v>50</v>
      </c>
      <c r="G12" s="4" t="s">
        <v>69</v>
      </c>
      <c r="H12" s="4" t="s">
        <v>150</v>
      </c>
      <c r="I12" s="4" t="s">
        <v>63</v>
      </c>
      <c r="J12" s="4" t="n">
        <v>21</v>
      </c>
    </row>
    <row r="13" customFormat="false" ht="26.85" hidden="false" customHeight="false" outlineLevel="0" collapsed="false">
      <c r="A13" s="4" t="s">
        <v>47</v>
      </c>
      <c r="B13" s="4" t="n">
        <v>12</v>
      </c>
      <c r="C13" s="4" t="s">
        <v>173</v>
      </c>
      <c r="D13" s="5" t="s">
        <v>175</v>
      </c>
      <c r="E13" s="5" t="s">
        <v>174</v>
      </c>
      <c r="F13" s="4" t="s">
        <v>50</v>
      </c>
      <c r="G13" s="4" t="s">
        <v>69</v>
      </c>
      <c r="H13" s="4" t="s">
        <v>162</v>
      </c>
      <c r="I13" s="4" t="s">
        <v>63</v>
      </c>
      <c r="J13" s="4" t="n">
        <v>23</v>
      </c>
    </row>
    <row r="14" customFormat="false" ht="26.85" hidden="false" customHeight="false" outlineLevel="0" collapsed="false">
      <c r="A14" s="4" t="s">
        <v>47</v>
      </c>
      <c r="B14" s="4" t="n">
        <v>13</v>
      </c>
      <c r="C14" s="4" t="s">
        <v>193</v>
      </c>
      <c r="D14" s="5" t="s">
        <v>195</v>
      </c>
      <c r="E14" s="5" t="s">
        <v>194</v>
      </c>
      <c r="F14" s="4" t="s">
        <v>50</v>
      </c>
      <c r="G14" s="4" t="s">
        <v>69</v>
      </c>
      <c r="H14" s="4" t="s">
        <v>119</v>
      </c>
      <c r="I14" s="4" t="s">
        <v>63</v>
      </c>
      <c r="J14" s="4" t="n">
        <v>26</v>
      </c>
    </row>
    <row r="15" customFormat="false" ht="26.85" hidden="false" customHeight="false" outlineLevel="0" collapsed="false">
      <c r="A15" s="4" t="s">
        <v>47</v>
      </c>
      <c r="B15" s="4" t="n">
        <v>14</v>
      </c>
      <c r="C15" s="4" t="s">
        <v>203</v>
      </c>
      <c r="D15" s="5" t="s">
        <v>205</v>
      </c>
      <c r="E15" s="5" t="s">
        <v>204</v>
      </c>
      <c r="F15" s="4" t="s">
        <v>50</v>
      </c>
      <c r="G15" s="4" t="s">
        <v>159</v>
      </c>
      <c r="H15" s="4" t="s">
        <v>119</v>
      </c>
      <c r="I15" s="4" t="s">
        <v>53</v>
      </c>
      <c r="J15" s="4" t="n">
        <v>28</v>
      </c>
    </row>
    <row r="16" customFormat="false" ht="26.85" hidden="false" customHeight="false" outlineLevel="0" collapsed="false">
      <c r="A16" s="4" t="s">
        <v>47</v>
      </c>
      <c r="B16" s="4" t="n">
        <v>15</v>
      </c>
      <c r="C16" s="4" t="s">
        <v>214</v>
      </c>
      <c r="D16" s="5" t="s">
        <v>216</v>
      </c>
      <c r="E16" s="5" t="s">
        <v>215</v>
      </c>
      <c r="F16" s="4" t="s">
        <v>50</v>
      </c>
      <c r="G16" s="4" t="s">
        <v>69</v>
      </c>
      <c r="H16" s="4" t="s">
        <v>203</v>
      </c>
      <c r="I16" s="4" t="s">
        <v>84</v>
      </c>
      <c r="J16" s="4" t="n">
        <v>30</v>
      </c>
    </row>
    <row r="17" customFormat="false" ht="26.85" hidden="false" customHeight="false" outlineLevel="0" collapsed="false">
      <c r="A17" s="4" t="s">
        <v>47</v>
      </c>
      <c r="B17" s="4" t="n">
        <v>16</v>
      </c>
      <c r="C17" s="4" t="s">
        <v>223</v>
      </c>
      <c r="D17" s="5" t="s">
        <v>225</v>
      </c>
      <c r="E17" s="5" t="s">
        <v>224</v>
      </c>
      <c r="F17" s="4" t="s">
        <v>50</v>
      </c>
      <c r="G17" s="4" t="s">
        <v>159</v>
      </c>
      <c r="H17" s="4" t="s">
        <v>162</v>
      </c>
      <c r="I17" s="4" t="s">
        <v>84</v>
      </c>
      <c r="J17" s="4" t="n">
        <v>32</v>
      </c>
    </row>
    <row r="18" customFormat="false" ht="26.85" hidden="false" customHeight="false" outlineLevel="0" collapsed="false">
      <c r="A18" s="4" t="s">
        <v>47</v>
      </c>
      <c r="B18" s="4" t="n">
        <v>17</v>
      </c>
      <c r="C18" s="4" t="s">
        <v>234</v>
      </c>
      <c r="D18" s="5" t="s">
        <v>236</v>
      </c>
      <c r="E18" s="5" t="s">
        <v>235</v>
      </c>
      <c r="F18" s="4" t="s">
        <v>50</v>
      </c>
      <c r="G18" s="4" t="s">
        <v>69</v>
      </c>
      <c r="H18" s="4" t="s">
        <v>109</v>
      </c>
      <c r="I18" s="4" t="s">
        <v>53</v>
      </c>
      <c r="J18" s="4" t="n">
        <v>34</v>
      </c>
    </row>
    <row r="19" customFormat="false" ht="26.85" hidden="false" customHeight="false" outlineLevel="0" collapsed="false">
      <c r="A19" s="4" t="s">
        <v>47</v>
      </c>
      <c r="B19" s="4" t="n">
        <v>18</v>
      </c>
      <c r="C19" s="4" t="s">
        <v>245</v>
      </c>
      <c r="D19" s="5" t="s">
        <v>247</v>
      </c>
      <c r="E19" s="5" t="s">
        <v>246</v>
      </c>
      <c r="F19" s="4" t="s">
        <v>50</v>
      </c>
      <c r="G19" s="4" t="s">
        <v>69</v>
      </c>
      <c r="H19" s="4" t="s">
        <v>234</v>
      </c>
      <c r="I19" s="4" t="s">
        <v>53</v>
      </c>
      <c r="J19" s="4" t="n">
        <v>36</v>
      </c>
    </row>
    <row r="20" customFormat="false" ht="26.85" hidden="false" customHeight="false" outlineLevel="0" collapsed="false">
      <c r="A20" s="4" t="s">
        <v>47</v>
      </c>
      <c r="B20" s="4" t="n">
        <v>19</v>
      </c>
      <c r="C20" s="4" t="s">
        <v>270</v>
      </c>
      <c r="D20" s="5" t="s">
        <v>272</v>
      </c>
      <c r="E20" s="5" t="s">
        <v>271</v>
      </c>
      <c r="F20" s="4" t="s">
        <v>50</v>
      </c>
      <c r="G20" s="4" t="s">
        <v>159</v>
      </c>
      <c r="H20" s="4" t="s">
        <v>234</v>
      </c>
      <c r="I20" s="4" t="s">
        <v>63</v>
      </c>
      <c r="J20" s="4" t="n">
        <v>40</v>
      </c>
    </row>
    <row r="21" customFormat="false" ht="26.85" hidden="false" customHeight="false" outlineLevel="0" collapsed="false">
      <c r="A21" s="4" t="s">
        <v>47</v>
      </c>
      <c r="B21" s="4" t="n">
        <v>20</v>
      </c>
      <c r="C21" s="4" t="s">
        <v>299</v>
      </c>
      <c r="D21" s="5" t="s">
        <v>301</v>
      </c>
      <c r="E21" s="5" t="s">
        <v>300</v>
      </c>
      <c r="F21" s="4" t="s">
        <v>50</v>
      </c>
      <c r="G21" s="4" t="s">
        <v>159</v>
      </c>
      <c r="H21" s="4" t="s">
        <v>203</v>
      </c>
      <c r="I21" s="4" t="s">
        <v>63</v>
      </c>
      <c r="J21" s="4" t="n">
        <v>45</v>
      </c>
    </row>
    <row r="22" customFormat="false" ht="26.85" hidden="false" customHeight="false" outlineLevel="0" collapsed="false">
      <c r="A22" s="4" t="s">
        <v>47</v>
      </c>
      <c r="B22" s="4" t="n">
        <v>21</v>
      </c>
      <c r="C22" s="4" t="s">
        <v>328</v>
      </c>
      <c r="D22" s="5" t="s">
        <v>329</v>
      </c>
      <c r="E22" s="5" t="s">
        <v>300</v>
      </c>
      <c r="F22" s="4" t="s">
        <v>50</v>
      </c>
      <c r="G22" s="4" t="s">
        <v>69</v>
      </c>
      <c r="H22" s="4" t="s">
        <v>299</v>
      </c>
      <c r="I22" s="4" t="s">
        <v>63</v>
      </c>
      <c r="J22" s="4" t="n">
        <v>50</v>
      </c>
    </row>
    <row r="23" customFormat="false" ht="26.85" hidden="false" customHeight="false" outlineLevel="0" collapsed="false">
      <c r="A23" s="4" t="s">
        <v>47</v>
      </c>
      <c r="B23" s="4" t="n">
        <v>22</v>
      </c>
      <c r="C23" s="4" t="s">
        <v>349</v>
      </c>
      <c r="D23" s="5" t="s">
        <v>351</v>
      </c>
      <c r="E23" s="5" t="s">
        <v>350</v>
      </c>
      <c r="F23" s="4" t="s">
        <v>50</v>
      </c>
      <c r="G23" s="4" t="s">
        <v>159</v>
      </c>
      <c r="H23" s="4" t="s">
        <v>328</v>
      </c>
      <c r="I23" s="4" t="s">
        <v>63</v>
      </c>
      <c r="J23" s="4" t="n">
        <v>54</v>
      </c>
    </row>
    <row r="24" customFormat="false" ht="26.85" hidden="false" customHeight="false" outlineLevel="0" collapsed="false">
      <c r="A24" s="4" t="s">
        <v>47</v>
      </c>
      <c r="B24" s="4" t="n">
        <v>23</v>
      </c>
      <c r="C24" s="4" t="s">
        <v>371</v>
      </c>
      <c r="D24" s="5" t="s">
        <v>373</v>
      </c>
      <c r="E24" s="5" t="s">
        <v>372</v>
      </c>
      <c r="F24" s="4" t="s">
        <v>50</v>
      </c>
      <c r="G24" s="4" t="s">
        <v>69</v>
      </c>
      <c r="H24" s="4" t="s">
        <v>349</v>
      </c>
      <c r="I24" s="4" t="s">
        <v>53</v>
      </c>
      <c r="J24" s="4" t="n">
        <v>58</v>
      </c>
    </row>
    <row r="25" customFormat="false" ht="26.85" hidden="false" customHeight="false" outlineLevel="0" collapsed="false">
      <c r="A25" s="4" t="s">
        <v>47</v>
      </c>
      <c r="B25" s="4" t="n">
        <v>24</v>
      </c>
      <c r="C25" s="4" t="s">
        <v>392</v>
      </c>
      <c r="D25" s="5" t="s">
        <v>394</v>
      </c>
      <c r="E25" s="5" t="s">
        <v>393</v>
      </c>
      <c r="F25" s="4" t="s">
        <v>50</v>
      </c>
      <c r="G25" s="4" t="s">
        <v>159</v>
      </c>
      <c r="H25" s="4" t="s">
        <v>349</v>
      </c>
      <c r="I25" s="4" t="s">
        <v>53</v>
      </c>
      <c r="J25" s="4" t="n">
        <v>62</v>
      </c>
    </row>
    <row r="26" customFormat="false" ht="26.85" hidden="false" customHeight="false" outlineLevel="0" collapsed="false">
      <c r="A26" s="4" t="s">
        <v>47</v>
      </c>
      <c r="B26" s="4" t="n">
        <v>25</v>
      </c>
      <c r="C26" s="4" t="s">
        <v>415</v>
      </c>
      <c r="D26" s="5" t="s">
        <v>417</v>
      </c>
      <c r="E26" s="5" t="s">
        <v>416</v>
      </c>
      <c r="F26" s="4" t="s">
        <v>50</v>
      </c>
      <c r="G26" s="4" t="s">
        <v>159</v>
      </c>
      <c r="H26" s="4" t="s">
        <v>392</v>
      </c>
      <c r="I26" s="4" t="s">
        <v>63</v>
      </c>
      <c r="J26" s="4" t="n">
        <v>66</v>
      </c>
    </row>
    <row r="27" customFormat="false" ht="26.85" hidden="false" customHeight="false" outlineLevel="0" collapsed="false">
      <c r="A27" s="4" t="s">
        <v>47</v>
      </c>
      <c r="B27" s="4" t="n">
        <v>26</v>
      </c>
      <c r="C27" s="4" t="s">
        <v>435</v>
      </c>
      <c r="D27" s="5" t="s">
        <v>437</v>
      </c>
      <c r="E27" s="5" t="s">
        <v>436</v>
      </c>
      <c r="F27" s="4" t="s">
        <v>50</v>
      </c>
      <c r="G27" s="4" t="s">
        <v>69</v>
      </c>
      <c r="H27" s="4" t="s">
        <v>328</v>
      </c>
      <c r="I27" s="4" t="s">
        <v>84</v>
      </c>
      <c r="J27" s="4" t="n">
        <v>70</v>
      </c>
    </row>
    <row r="28" customFormat="false" ht="26.85" hidden="false" customHeight="false" outlineLevel="0" collapsed="false">
      <c r="A28" s="4" t="s">
        <v>47</v>
      </c>
      <c r="B28" s="4" t="n">
        <v>27</v>
      </c>
      <c r="C28" s="4" t="s">
        <v>464</v>
      </c>
      <c r="D28" s="5" t="s">
        <v>466</v>
      </c>
      <c r="E28" s="5" t="s">
        <v>465</v>
      </c>
      <c r="F28" s="4" t="s">
        <v>50</v>
      </c>
      <c r="G28" s="4" t="s">
        <v>159</v>
      </c>
      <c r="H28" s="4" t="s">
        <v>349</v>
      </c>
      <c r="I28" s="4" t="s">
        <v>63</v>
      </c>
      <c r="J28" s="4" t="n">
        <v>75</v>
      </c>
    </row>
    <row r="29" customFormat="false" ht="26.85" hidden="false" customHeight="false" outlineLevel="0" collapsed="false">
      <c r="A29" s="4" t="s">
        <v>47</v>
      </c>
      <c r="B29" s="4" t="n">
        <v>28</v>
      </c>
      <c r="C29" s="4" t="s">
        <v>486</v>
      </c>
      <c r="D29" s="5" t="s">
        <v>488</v>
      </c>
      <c r="E29" s="5" t="s">
        <v>487</v>
      </c>
      <c r="F29" s="4" t="s">
        <v>50</v>
      </c>
      <c r="G29" s="4" t="s">
        <v>449</v>
      </c>
      <c r="H29" s="4" t="s">
        <v>464</v>
      </c>
      <c r="I29" s="4" t="s">
        <v>53</v>
      </c>
      <c r="J29" s="4" t="n">
        <v>79</v>
      </c>
    </row>
    <row r="30" customFormat="false" ht="26.85" hidden="false" customHeight="false" outlineLevel="0" collapsed="false">
      <c r="A30" s="4" t="s">
        <v>47</v>
      </c>
      <c r="B30" s="4" t="n">
        <v>29</v>
      </c>
      <c r="C30" s="4" t="s">
        <v>505</v>
      </c>
      <c r="D30" s="5" t="s">
        <v>507</v>
      </c>
      <c r="E30" s="5" t="s">
        <v>506</v>
      </c>
      <c r="F30" s="4" t="s">
        <v>50</v>
      </c>
      <c r="G30" s="4" t="s">
        <v>449</v>
      </c>
      <c r="H30" s="4" t="s">
        <v>486</v>
      </c>
      <c r="I30" s="4" t="s">
        <v>63</v>
      </c>
      <c r="J30" s="4" t="n">
        <v>83</v>
      </c>
    </row>
    <row r="31" customFormat="false" ht="15" hidden="false" customHeight="false" outlineLevel="0" collapsed="false">
      <c r="A31" s="4" t="s">
        <v>47</v>
      </c>
      <c r="B31" s="4" t="n">
        <v>30</v>
      </c>
      <c r="C31" s="4" t="s">
        <v>524</v>
      </c>
      <c r="D31" s="5" t="s">
        <v>526</v>
      </c>
      <c r="E31" s="5" t="s">
        <v>525</v>
      </c>
      <c r="F31" s="4" t="s">
        <v>50</v>
      </c>
      <c r="G31" s="4" t="s">
        <v>159</v>
      </c>
      <c r="H31" s="4" t="s">
        <v>349</v>
      </c>
      <c r="I31" s="4" t="s">
        <v>63</v>
      </c>
      <c r="J31" s="4" t="n">
        <v>87</v>
      </c>
    </row>
    <row r="32" customFormat="false" ht="15" hidden="false" customHeight="false" outlineLevel="0" collapsed="false">
      <c r="A32" s="4" t="s">
        <v>47</v>
      </c>
      <c r="B32" s="4" t="n">
        <v>31</v>
      </c>
      <c r="C32" s="4" t="s">
        <v>535</v>
      </c>
      <c r="D32" s="5" t="s">
        <v>537</v>
      </c>
      <c r="E32" s="5" t="s">
        <v>536</v>
      </c>
      <c r="F32" s="4" t="s">
        <v>50</v>
      </c>
      <c r="G32" s="4" t="s">
        <v>69</v>
      </c>
      <c r="H32" s="4" t="s">
        <v>162</v>
      </c>
      <c r="I32" s="4" t="s">
        <v>84</v>
      </c>
      <c r="J32" s="4" t="n">
        <v>89</v>
      </c>
    </row>
    <row r="33" customFormat="false" ht="26.85" hidden="false" customHeight="false" outlineLevel="0" collapsed="false">
      <c r="A33" s="4" t="s">
        <v>47</v>
      </c>
      <c r="B33" s="4" t="n">
        <v>32</v>
      </c>
      <c r="C33" s="4" t="s">
        <v>546</v>
      </c>
      <c r="D33" s="5" t="s">
        <v>548</v>
      </c>
      <c r="E33" s="5" t="s">
        <v>547</v>
      </c>
      <c r="F33" s="4" t="s">
        <v>50</v>
      </c>
      <c r="G33" s="4" t="s">
        <v>51</v>
      </c>
      <c r="H33" s="4" t="s">
        <v>203</v>
      </c>
      <c r="I33" s="4" t="s">
        <v>84</v>
      </c>
      <c r="J33" s="4" t="n">
        <v>91</v>
      </c>
    </row>
    <row r="34" customFormat="false" ht="26.85" hidden="false" customHeight="false" outlineLevel="0" collapsed="false">
      <c r="A34" s="4" t="s">
        <v>47</v>
      </c>
      <c r="B34" s="4" t="n">
        <v>33</v>
      </c>
      <c r="C34" s="4" t="s">
        <v>558</v>
      </c>
      <c r="D34" s="5" t="s">
        <v>560</v>
      </c>
      <c r="E34" s="5" t="s">
        <v>559</v>
      </c>
      <c r="F34" s="4" t="s">
        <v>50</v>
      </c>
      <c r="G34" s="4" t="s">
        <v>69</v>
      </c>
      <c r="H34" s="4" t="s">
        <v>119</v>
      </c>
      <c r="I34" s="4" t="s">
        <v>63</v>
      </c>
      <c r="J34" s="4" t="n">
        <v>93</v>
      </c>
    </row>
    <row r="35" customFormat="false" ht="26.85" hidden="false" customHeight="false" outlineLevel="0" collapsed="false">
      <c r="A35" s="4" t="s">
        <v>47</v>
      </c>
      <c r="B35" s="4" t="n">
        <v>34</v>
      </c>
      <c r="C35" s="4" t="s">
        <v>569</v>
      </c>
      <c r="D35" s="5" t="s">
        <v>571</v>
      </c>
      <c r="E35" s="5" t="s">
        <v>570</v>
      </c>
      <c r="F35" s="4" t="s">
        <v>50</v>
      </c>
      <c r="G35" s="4" t="s">
        <v>51</v>
      </c>
      <c r="H35" s="4" t="s">
        <v>270</v>
      </c>
      <c r="I35" s="4" t="s">
        <v>53</v>
      </c>
      <c r="J35" s="4" t="n">
        <v>95</v>
      </c>
    </row>
    <row r="36" customFormat="false" ht="26.85" hidden="false" customHeight="false" outlineLevel="0" collapsed="false">
      <c r="A36" s="4" t="s">
        <v>47</v>
      </c>
      <c r="B36" s="4" t="n">
        <v>35</v>
      </c>
      <c r="C36" s="4" t="s">
        <v>575</v>
      </c>
      <c r="D36" s="5" t="s">
        <v>577</v>
      </c>
      <c r="E36" s="5" t="s">
        <v>576</v>
      </c>
      <c r="F36" s="4" t="s">
        <v>50</v>
      </c>
      <c r="G36" s="4" t="s">
        <v>51</v>
      </c>
      <c r="H36" s="4" t="s">
        <v>245</v>
      </c>
      <c r="I36" s="4" t="s">
        <v>63</v>
      </c>
      <c r="J36" s="4" t="n">
        <v>97</v>
      </c>
    </row>
    <row r="37" customFormat="false" ht="15" hidden="false" customHeight="false" outlineLevel="0" collapsed="false">
      <c r="A37" s="4" t="s">
        <v>47</v>
      </c>
      <c r="B37" s="4" t="n">
        <v>36</v>
      </c>
      <c r="C37" s="4" t="s">
        <v>184</v>
      </c>
      <c r="D37" s="5" t="s">
        <v>186</v>
      </c>
      <c r="E37" s="5" t="s">
        <v>185</v>
      </c>
      <c r="F37" s="4" t="s">
        <v>187</v>
      </c>
      <c r="G37" s="4" t="s">
        <v>188</v>
      </c>
      <c r="H37" s="4" t="s">
        <v>189</v>
      </c>
      <c r="I37" s="4" t="s">
        <v>53</v>
      </c>
      <c r="J37" s="4" t="n">
        <v>25</v>
      </c>
    </row>
    <row r="38" customFormat="false" ht="26.85" hidden="false" customHeight="false" outlineLevel="0" collapsed="false">
      <c r="A38" s="4" t="s">
        <v>59</v>
      </c>
      <c r="B38" s="4" t="n">
        <v>1</v>
      </c>
      <c r="C38" s="4" t="s">
        <v>58</v>
      </c>
      <c r="D38" s="5" t="s">
        <v>61</v>
      </c>
      <c r="E38" s="5" t="s">
        <v>60</v>
      </c>
      <c r="F38" s="4" t="s">
        <v>50</v>
      </c>
      <c r="G38" s="4" t="s">
        <v>51</v>
      </c>
      <c r="H38" s="4" t="s">
        <v>62</v>
      </c>
      <c r="I38" s="4" t="s">
        <v>63</v>
      </c>
      <c r="J38" s="4" t="n">
        <v>2</v>
      </c>
    </row>
    <row r="39" customFormat="false" ht="26.85" hidden="false" customHeight="false" outlineLevel="0" collapsed="false">
      <c r="A39" s="4" t="s">
        <v>59</v>
      </c>
      <c r="B39" s="4" t="n">
        <v>2</v>
      </c>
      <c r="C39" s="4" t="s">
        <v>73</v>
      </c>
      <c r="D39" s="5" t="s">
        <v>75</v>
      </c>
      <c r="E39" s="5" t="s">
        <v>74</v>
      </c>
      <c r="F39" s="4" t="s">
        <v>50</v>
      </c>
      <c r="G39" s="4" t="s">
        <v>69</v>
      </c>
      <c r="H39" s="4" t="s">
        <v>58</v>
      </c>
      <c r="I39" s="4" t="s">
        <v>63</v>
      </c>
      <c r="J39" s="4" t="n">
        <v>4</v>
      </c>
    </row>
    <row r="40" customFormat="false" ht="26.85" hidden="false" customHeight="false" outlineLevel="0" collapsed="false">
      <c r="A40" s="4" t="s">
        <v>59</v>
      </c>
      <c r="B40" s="4" t="n">
        <v>3</v>
      </c>
      <c r="C40" s="4" t="s">
        <v>81</v>
      </c>
      <c r="D40" s="5" t="s">
        <v>83</v>
      </c>
      <c r="E40" s="5" t="s">
        <v>82</v>
      </c>
      <c r="F40" s="4" t="s">
        <v>50</v>
      </c>
      <c r="G40" s="4" t="s">
        <v>69</v>
      </c>
      <c r="H40" s="4" t="s">
        <v>58</v>
      </c>
      <c r="I40" s="4" t="s">
        <v>84</v>
      </c>
      <c r="J40" s="4" t="n">
        <v>6</v>
      </c>
    </row>
    <row r="41" customFormat="false" ht="26.85" hidden="false" customHeight="false" outlineLevel="0" collapsed="false">
      <c r="A41" s="4" t="s">
        <v>59</v>
      </c>
      <c r="B41" s="4" t="n">
        <v>4</v>
      </c>
      <c r="C41" s="4" t="s">
        <v>93</v>
      </c>
      <c r="D41" s="5" t="s">
        <v>95</v>
      </c>
      <c r="E41" s="5" t="s">
        <v>94</v>
      </c>
      <c r="F41" s="4" t="s">
        <v>50</v>
      </c>
      <c r="G41" s="4" t="s">
        <v>69</v>
      </c>
      <c r="H41" s="4" t="s">
        <v>81</v>
      </c>
      <c r="I41" s="4" t="s">
        <v>63</v>
      </c>
      <c r="J41" s="4" t="n">
        <v>8</v>
      </c>
    </row>
    <row r="42" customFormat="false" ht="26.85" hidden="false" customHeight="false" outlineLevel="0" collapsed="false">
      <c r="A42" s="4" t="s">
        <v>59</v>
      </c>
      <c r="B42" s="4" t="n">
        <v>5</v>
      </c>
      <c r="C42" s="4" t="s">
        <v>104</v>
      </c>
      <c r="D42" s="5" t="s">
        <v>106</v>
      </c>
      <c r="E42" s="5" t="s">
        <v>105</v>
      </c>
      <c r="F42" s="4" t="s">
        <v>50</v>
      </c>
      <c r="G42" s="4" t="s">
        <v>69</v>
      </c>
      <c r="H42" s="4" t="s">
        <v>73</v>
      </c>
      <c r="I42" s="4" t="s">
        <v>63</v>
      </c>
      <c r="J42" s="4" t="n">
        <v>10</v>
      </c>
    </row>
    <row r="43" customFormat="false" ht="26.85" hidden="false" customHeight="false" outlineLevel="0" collapsed="false">
      <c r="A43" s="4" t="s">
        <v>59</v>
      </c>
      <c r="B43" s="4" t="n">
        <v>6</v>
      </c>
      <c r="C43" s="4" t="s">
        <v>114</v>
      </c>
      <c r="D43" s="5" t="s">
        <v>116</v>
      </c>
      <c r="E43" s="5" t="s">
        <v>115</v>
      </c>
      <c r="F43" s="4" t="s">
        <v>50</v>
      </c>
      <c r="G43" s="4" t="s">
        <v>69</v>
      </c>
      <c r="H43" s="4" t="s">
        <v>93</v>
      </c>
      <c r="I43" s="4" t="s">
        <v>84</v>
      </c>
      <c r="J43" s="4" t="n">
        <v>12</v>
      </c>
    </row>
    <row r="44" customFormat="false" ht="26.85" hidden="false" customHeight="false" outlineLevel="0" collapsed="false">
      <c r="A44" s="4" t="s">
        <v>59</v>
      </c>
      <c r="B44" s="4" t="n">
        <v>7</v>
      </c>
      <c r="C44" s="4" t="s">
        <v>125</v>
      </c>
      <c r="D44" s="5" t="s">
        <v>127</v>
      </c>
      <c r="E44" s="5" t="s">
        <v>126</v>
      </c>
      <c r="F44" s="4" t="s">
        <v>50</v>
      </c>
      <c r="G44" s="4" t="s">
        <v>51</v>
      </c>
      <c r="H44" s="4" t="s">
        <v>81</v>
      </c>
      <c r="I44" s="4" t="s">
        <v>63</v>
      </c>
      <c r="J44" s="4" t="n">
        <v>14</v>
      </c>
    </row>
    <row r="45" customFormat="false" ht="26.85" hidden="false" customHeight="false" outlineLevel="0" collapsed="false">
      <c r="A45" s="4" t="s">
        <v>59</v>
      </c>
      <c r="B45" s="4" t="n">
        <v>8</v>
      </c>
      <c r="C45" s="4" t="s">
        <v>135</v>
      </c>
      <c r="D45" s="5" t="s">
        <v>137</v>
      </c>
      <c r="E45" s="5" t="s">
        <v>136</v>
      </c>
      <c r="F45" s="4" t="s">
        <v>50</v>
      </c>
      <c r="G45" s="4" t="s">
        <v>69</v>
      </c>
      <c r="H45" s="4" t="s">
        <v>93</v>
      </c>
      <c r="I45" s="4" t="s">
        <v>63</v>
      </c>
      <c r="J45" s="4" t="n">
        <v>16</v>
      </c>
    </row>
    <row r="46" customFormat="false" ht="39.55" hidden="false" customHeight="false" outlineLevel="0" collapsed="false">
      <c r="A46" s="4" t="s">
        <v>59</v>
      </c>
      <c r="B46" s="4" t="n">
        <v>9</v>
      </c>
      <c r="C46" s="4" t="s">
        <v>145</v>
      </c>
      <c r="D46" s="5" t="s">
        <v>147</v>
      </c>
      <c r="E46" s="5" t="s">
        <v>146</v>
      </c>
      <c r="F46" s="4" t="s">
        <v>50</v>
      </c>
      <c r="G46" s="4" t="s">
        <v>69</v>
      </c>
      <c r="H46" s="4" t="s">
        <v>73</v>
      </c>
      <c r="I46" s="4" t="s">
        <v>63</v>
      </c>
      <c r="J46" s="4" t="n">
        <v>18</v>
      </c>
    </row>
    <row r="47" customFormat="false" ht="26.85" hidden="false" customHeight="false" outlineLevel="0" collapsed="false">
      <c r="A47" s="4" t="s">
        <v>59</v>
      </c>
      <c r="B47" s="4" t="n">
        <v>10</v>
      </c>
      <c r="C47" s="4" t="s">
        <v>156</v>
      </c>
      <c r="D47" s="5" t="s">
        <v>158</v>
      </c>
      <c r="E47" s="5" t="s">
        <v>157</v>
      </c>
      <c r="F47" s="4" t="s">
        <v>50</v>
      </c>
      <c r="G47" s="4" t="s">
        <v>159</v>
      </c>
      <c r="H47" s="4" t="s">
        <v>73</v>
      </c>
      <c r="I47" s="4" t="s">
        <v>63</v>
      </c>
      <c r="J47" s="4" t="n">
        <v>20</v>
      </c>
    </row>
    <row r="48" customFormat="false" ht="26.85" hidden="false" customHeight="false" outlineLevel="0" collapsed="false">
      <c r="A48" s="4" t="s">
        <v>59</v>
      </c>
      <c r="B48" s="4" t="n">
        <v>11</v>
      </c>
      <c r="C48" s="4" t="s">
        <v>167</v>
      </c>
      <c r="D48" s="5" t="s">
        <v>169</v>
      </c>
      <c r="E48" s="5" t="s">
        <v>168</v>
      </c>
      <c r="F48" s="4" t="s">
        <v>50</v>
      </c>
      <c r="G48" s="4" t="s">
        <v>69</v>
      </c>
      <c r="H48" s="4" t="s">
        <v>170</v>
      </c>
      <c r="I48" s="4" t="s">
        <v>63</v>
      </c>
      <c r="J48" s="4" t="n">
        <v>22</v>
      </c>
    </row>
    <row r="49" customFormat="false" ht="26.85" hidden="false" customHeight="false" outlineLevel="0" collapsed="false">
      <c r="A49" s="4" t="s">
        <v>59</v>
      </c>
      <c r="B49" s="4" t="n">
        <v>12</v>
      </c>
      <c r="C49" s="4" t="s">
        <v>178</v>
      </c>
      <c r="D49" s="5" t="s">
        <v>180</v>
      </c>
      <c r="E49" s="5" t="s">
        <v>179</v>
      </c>
      <c r="F49" s="4" t="s">
        <v>50</v>
      </c>
      <c r="G49" s="4" t="s">
        <v>159</v>
      </c>
      <c r="H49" s="4" t="s">
        <v>167</v>
      </c>
      <c r="I49" s="4" t="s">
        <v>84</v>
      </c>
      <c r="J49" s="4" t="n">
        <v>24</v>
      </c>
    </row>
    <row r="50" customFormat="false" ht="26.85" hidden="false" customHeight="false" outlineLevel="0" collapsed="false">
      <c r="A50" s="4" t="s">
        <v>59</v>
      </c>
      <c r="B50" s="4" t="n">
        <v>13</v>
      </c>
      <c r="C50" s="4" t="s">
        <v>198</v>
      </c>
      <c r="D50" s="5" t="s">
        <v>200</v>
      </c>
      <c r="E50" s="5" t="s">
        <v>199</v>
      </c>
      <c r="F50" s="4" t="s">
        <v>50</v>
      </c>
      <c r="G50" s="4" t="s">
        <v>159</v>
      </c>
      <c r="H50" s="4" t="s">
        <v>178</v>
      </c>
      <c r="I50" s="4" t="s">
        <v>63</v>
      </c>
      <c r="J50" s="4" t="n">
        <v>27</v>
      </c>
    </row>
    <row r="51" customFormat="false" ht="39.55" hidden="false" customHeight="false" outlineLevel="0" collapsed="false">
      <c r="A51" s="4" t="s">
        <v>59</v>
      </c>
      <c r="B51" s="4" t="n">
        <v>14</v>
      </c>
      <c r="C51" s="4" t="s">
        <v>209</v>
      </c>
      <c r="D51" s="5" t="s">
        <v>211</v>
      </c>
      <c r="E51" s="5" t="s">
        <v>210</v>
      </c>
      <c r="F51" s="4" t="s">
        <v>50</v>
      </c>
      <c r="G51" s="4" t="s">
        <v>69</v>
      </c>
      <c r="H51" s="4" t="s">
        <v>178</v>
      </c>
      <c r="I51" s="4" t="s">
        <v>53</v>
      </c>
      <c r="J51" s="4" t="n">
        <v>29</v>
      </c>
    </row>
    <row r="52" customFormat="false" ht="26.85" hidden="false" customHeight="false" outlineLevel="0" collapsed="false">
      <c r="A52" s="4" t="s">
        <v>59</v>
      </c>
      <c r="B52" s="4" t="n">
        <v>15</v>
      </c>
      <c r="C52" s="4" t="s">
        <v>220</v>
      </c>
      <c r="D52" s="5" t="s">
        <v>222</v>
      </c>
      <c r="E52" s="5" t="s">
        <v>221</v>
      </c>
      <c r="F52" s="4" t="s">
        <v>50</v>
      </c>
      <c r="G52" s="4" t="s">
        <v>69</v>
      </c>
      <c r="H52" s="4" t="s">
        <v>198</v>
      </c>
      <c r="I52" s="4" t="s">
        <v>84</v>
      </c>
      <c r="J52" s="4" t="n">
        <v>31</v>
      </c>
    </row>
    <row r="53" customFormat="false" ht="26.85" hidden="false" customHeight="false" outlineLevel="0" collapsed="false">
      <c r="A53" s="4" t="s">
        <v>59</v>
      </c>
      <c r="B53" s="4" t="n">
        <v>16</v>
      </c>
      <c r="C53" s="4" t="s">
        <v>228</v>
      </c>
      <c r="D53" s="5" t="s">
        <v>230</v>
      </c>
      <c r="E53" s="5" t="s">
        <v>229</v>
      </c>
      <c r="F53" s="4" t="s">
        <v>50</v>
      </c>
      <c r="G53" s="4" t="s">
        <v>69</v>
      </c>
      <c r="H53" s="4" t="s">
        <v>209</v>
      </c>
      <c r="I53" s="4" t="s">
        <v>84</v>
      </c>
      <c r="J53" s="4" t="n">
        <v>33</v>
      </c>
    </row>
    <row r="54" customFormat="false" ht="26.85" hidden="false" customHeight="false" outlineLevel="0" collapsed="false">
      <c r="A54" s="4" t="s">
        <v>59</v>
      </c>
      <c r="B54" s="4" t="n">
        <v>17</v>
      </c>
      <c r="C54" s="4" t="s">
        <v>240</v>
      </c>
      <c r="D54" s="5" t="s">
        <v>242</v>
      </c>
      <c r="E54" s="5" t="s">
        <v>241</v>
      </c>
      <c r="F54" s="4" t="s">
        <v>50</v>
      </c>
      <c r="G54" s="4" t="s">
        <v>159</v>
      </c>
      <c r="H54" s="4" t="s">
        <v>178</v>
      </c>
      <c r="I54" s="4" t="s">
        <v>53</v>
      </c>
      <c r="J54" s="4" t="n">
        <v>35</v>
      </c>
    </row>
    <row r="55" customFormat="false" ht="26.85" hidden="false" customHeight="false" outlineLevel="0" collapsed="false">
      <c r="A55" s="4" t="s">
        <v>59</v>
      </c>
      <c r="B55" s="4" t="n">
        <v>18</v>
      </c>
      <c r="C55" s="4" t="s">
        <v>251</v>
      </c>
      <c r="D55" s="5" t="s">
        <v>253</v>
      </c>
      <c r="E55" s="5" t="s">
        <v>252</v>
      </c>
      <c r="F55" s="4" t="s">
        <v>50</v>
      </c>
      <c r="G55" s="4" t="s">
        <v>159</v>
      </c>
      <c r="H55" s="4" t="s">
        <v>240</v>
      </c>
      <c r="I55" s="4" t="s">
        <v>63</v>
      </c>
      <c r="J55" s="4" t="n">
        <v>37</v>
      </c>
    </row>
    <row r="56" customFormat="false" ht="26.85" hidden="false" customHeight="false" outlineLevel="0" collapsed="false">
      <c r="A56" s="4" t="s">
        <v>59</v>
      </c>
      <c r="B56" s="4" t="n">
        <v>19</v>
      </c>
      <c r="C56" s="4" t="s">
        <v>281</v>
      </c>
      <c r="D56" s="5" t="s">
        <v>283</v>
      </c>
      <c r="E56" s="5" t="s">
        <v>282</v>
      </c>
      <c r="F56" s="4" t="s">
        <v>50</v>
      </c>
      <c r="G56" s="4" t="s">
        <v>69</v>
      </c>
      <c r="H56" s="4" t="s">
        <v>251</v>
      </c>
      <c r="I56" s="4" t="s">
        <v>84</v>
      </c>
      <c r="J56" s="4" t="n">
        <v>42</v>
      </c>
    </row>
    <row r="57" customFormat="false" ht="26.85" hidden="false" customHeight="false" outlineLevel="0" collapsed="false">
      <c r="A57" s="4" t="s">
        <v>59</v>
      </c>
      <c r="B57" s="4" t="n">
        <v>20</v>
      </c>
      <c r="C57" s="4" t="s">
        <v>318</v>
      </c>
      <c r="D57" s="5" t="s">
        <v>320</v>
      </c>
      <c r="E57" s="5" t="s">
        <v>319</v>
      </c>
      <c r="F57" s="4" t="s">
        <v>50</v>
      </c>
      <c r="G57" s="4" t="s">
        <v>159</v>
      </c>
      <c r="H57" s="4" t="s">
        <v>251</v>
      </c>
      <c r="I57" s="4" t="s">
        <v>53</v>
      </c>
      <c r="J57" s="4" t="n">
        <v>48</v>
      </c>
    </row>
    <row r="58" customFormat="false" ht="26.85" hidden="false" customHeight="false" outlineLevel="0" collapsed="false">
      <c r="A58" s="4" t="s">
        <v>59</v>
      </c>
      <c r="B58" s="4" t="n">
        <v>21</v>
      </c>
      <c r="C58" s="4" t="s">
        <v>338</v>
      </c>
      <c r="D58" s="5" t="s">
        <v>340</v>
      </c>
      <c r="E58" s="5" t="s">
        <v>339</v>
      </c>
      <c r="F58" s="4" t="s">
        <v>50</v>
      </c>
      <c r="G58" s="4" t="s">
        <v>69</v>
      </c>
      <c r="H58" s="4" t="s">
        <v>341</v>
      </c>
      <c r="I58" s="4" t="s">
        <v>63</v>
      </c>
      <c r="J58" s="4" t="n">
        <v>52</v>
      </c>
    </row>
    <row r="59" customFormat="false" ht="26.85" hidden="false" customHeight="false" outlineLevel="0" collapsed="false">
      <c r="A59" s="4" t="s">
        <v>59</v>
      </c>
      <c r="B59" s="4" t="n">
        <v>22</v>
      </c>
      <c r="C59" s="4" t="s">
        <v>361</v>
      </c>
      <c r="D59" s="5" t="s">
        <v>363</v>
      </c>
      <c r="E59" s="5" t="s">
        <v>362</v>
      </c>
      <c r="F59" s="4" t="s">
        <v>50</v>
      </c>
      <c r="G59" s="4" t="s">
        <v>159</v>
      </c>
      <c r="H59" s="4" t="s">
        <v>338</v>
      </c>
      <c r="I59" s="4" t="s">
        <v>63</v>
      </c>
      <c r="J59" s="4" t="n">
        <v>56</v>
      </c>
    </row>
    <row r="60" customFormat="false" ht="26.85" hidden="false" customHeight="false" outlineLevel="0" collapsed="false">
      <c r="A60" s="4" t="s">
        <v>59</v>
      </c>
      <c r="B60" s="4" t="n">
        <v>23</v>
      </c>
      <c r="C60" s="4" t="s">
        <v>383</v>
      </c>
      <c r="D60" s="5" t="s">
        <v>385</v>
      </c>
      <c r="E60" s="5" t="s">
        <v>384</v>
      </c>
      <c r="F60" s="4" t="s">
        <v>50</v>
      </c>
      <c r="G60" s="4" t="s">
        <v>159</v>
      </c>
      <c r="H60" s="4" t="s">
        <v>361</v>
      </c>
      <c r="I60" s="4" t="s">
        <v>63</v>
      </c>
      <c r="J60" s="4" t="n">
        <v>60</v>
      </c>
    </row>
    <row r="61" customFormat="false" ht="26.85" hidden="false" customHeight="false" outlineLevel="0" collapsed="false">
      <c r="A61" s="4" t="s">
        <v>59</v>
      </c>
      <c r="B61" s="4" t="n">
        <v>24</v>
      </c>
      <c r="C61" s="4" t="s">
        <v>403</v>
      </c>
      <c r="D61" s="5" t="s">
        <v>405</v>
      </c>
      <c r="E61" s="5" t="s">
        <v>404</v>
      </c>
      <c r="F61" s="4" t="s">
        <v>50</v>
      </c>
      <c r="G61" s="4" t="s">
        <v>159</v>
      </c>
      <c r="H61" s="4" t="s">
        <v>383</v>
      </c>
      <c r="I61" s="4" t="s">
        <v>53</v>
      </c>
      <c r="J61" s="4" t="n">
        <v>64</v>
      </c>
    </row>
    <row r="62" customFormat="false" ht="26.85" hidden="false" customHeight="false" outlineLevel="0" collapsed="false">
      <c r="A62" s="4" t="s">
        <v>59</v>
      </c>
      <c r="B62" s="4" t="n">
        <v>25</v>
      </c>
      <c r="C62" s="4" t="s">
        <v>424</v>
      </c>
      <c r="D62" s="5" t="s">
        <v>426</v>
      </c>
      <c r="E62" s="5" t="s">
        <v>425</v>
      </c>
      <c r="F62" s="4" t="s">
        <v>50</v>
      </c>
      <c r="G62" s="4" t="s">
        <v>69</v>
      </c>
      <c r="H62" s="4" t="s">
        <v>178</v>
      </c>
      <c r="I62" s="4" t="s">
        <v>63</v>
      </c>
      <c r="J62" s="4" t="n">
        <v>68</v>
      </c>
    </row>
    <row r="63" customFormat="false" ht="26.85" hidden="false" customHeight="false" outlineLevel="0" collapsed="false">
      <c r="A63" s="4" t="s">
        <v>59</v>
      </c>
      <c r="B63" s="4" t="n">
        <v>26</v>
      </c>
      <c r="C63" s="4" t="s">
        <v>446</v>
      </c>
      <c r="D63" s="5" t="s">
        <v>448</v>
      </c>
      <c r="E63" s="5" t="s">
        <v>447</v>
      </c>
      <c r="F63" s="4" t="s">
        <v>50</v>
      </c>
      <c r="G63" s="4" t="s">
        <v>449</v>
      </c>
      <c r="H63" s="4" t="s">
        <v>450</v>
      </c>
      <c r="I63" s="4" t="s">
        <v>53</v>
      </c>
      <c r="J63" s="4" t="n">
        <v>72</v>
      </c>
    </row>
    <row r="64" customFormat="false" ht="26.85" hidden="false" customHeight="false" outlineLevel="0" collapsed="false">
      <c r="A64" s="4" t="s">
        <v>59</v>
      </c>
      <c r="B64" s="4" t="n">
        <v>27</v>
      </c>
      <c r="C64" s="4" t="s">
        <v>476</v>
      </c>
      <c r="D64" s="5" t="s">
        <v>478</v>
      </c>
      <c r="E64" s="5" t="s">
        <v>477</v>
      </c>
      <c r="F64" s="4" t="s">
        <v>50</v>
      </c>
      <c r="G64" s="4" t="s">
        <v>449</v>
      </c>
      <c r="H64" s="4" t="s">
        <v>446</v>
      </c>
      <c r="I64" s="4" t="s">
        <v>63</v>
      </c>
      <c r="J64" s="4" t="n">
        <v>77</v>
      </c>
    </row>
    <row r="65" customFormat="false" ht="26.85" hidden="false" customHeight="false" outlineLevel="0" collapsed="false">
      <c r="A65" s="4" t="s">
        <v>59</v>
      </c>
      <c r="B65" s="4" t="n">
        <v>28</v>
      </c>
      <c r="C65" s="4" t="s">
        <v>497</v>
      </c>
      <c r="D65" s="5" t="s">
        <v>499</v>
      </c>
      <c r="E65" s="5" t="s">
        <v>498</v>
      </c>
      <c r="F65" s="4" t="s">
        <v>50</v>
      </c>
      <c r="G65" s="4" t="s">
        <v>449</v>
      </c>
      <c r="H65" s="4" t="s">
        <v>476</v>
      </c>
      <c r="I65" s="4" t="s">
        <v>63</v>
      </c>
      <c r="J65" s="4" t="n">
        <v>81</v>
      </c>
    </row>
    <row r="66" customFormat="false" ht="26.85" hidden="false" customHeight="false" outlineLevel="0" collapsed="false">
      <c r="A66" s="4" t="s">
        <v>59</v>
      </c>
      <c r="B66" s="4" t="n">
        <v>29</v>
      </c>
      <c r="C66" s="4" t="s">
        <v>513</v>
      </c>
      <c r="D66" s="5" t="s">
        <v>515</v>
      </c>
      <c r="E66" s="5" t="s">
        <v>514</v>
      </c>
      <c r="F66" s="4" t="s">
        <v>50</v>
      </c>
      <c r="G66" s="4" t="s">
        <v>159</v>
      </c>
      <c r="H66" s="4" t="s">
        <v>476</v>
      </c>
      <c r="I66" s="4" t="s">
        <v>84</v>
      </c>
      <c r="J66" s="4" t="n">
        <v>85</v>
      </c>
    </row>
    <row r="67" customFormat="false" ht="15" hidden="false" customHeight="false" outlineLevel="0" collapsed="false">
      <c r="A67" s="4" t="s">
        <v>59</v>
      </c>
      <c r="B67" s="4" t="n">
        <v>30</v>
      </c>
      <c r="C67" s="4" t="s">
        <v>256</v>
      </c>
      <c r="D67" s="5" t="s">
        <v>258</v>
      </c>
      <c r="E67" s="5" t="s">
        <v>257</v>
      </c>
      <c r="F67" s="4" t="s">
        <v>187</v>
      </c>
      <c r="G67" s="4" t="s">
        <v>259</v>
      </c>
      <c r="H67" s="4" t="s">
        <v>260</v>
      </c>
      <c r="I67" s="4" t="s">
        <v>84</v>
      </c>
      <c r="J67" s="4" t="n">
        <v>38</v>
      </c>
    </row>
    <row r="68" customFormat="false" ht="26.85" hidden="false" customHeight="false" outlineLevel="0" collapsed="false">
      <c r="A68" s="4" t="s">
        <v>264</v>
      </c>
      <c r="B68" s="4" t="n">
        <v>1</v>
      </c>
      <c r="C68" s="4" t="s">
        <v>263</v>
      </c>
      <c r="D68" s="5" t="s">
        <v>266</v>
      </c>
      <c r="E68" s="5" t="s">
        <v>265</v>
      </c>
      <c r="F68" s="4" t="s">
        <v>50</v>
      </c>
      <c r="G68" s="4" t="s">
        <v>69</v>
      </c>
      <c r="H68" s="4" t="s">
        <v>52</v>
      </c>
      <c r="I68" s="4" t="s">
        <v>84</v>
      </c>
      <c r="J68" s="4" t="n">
        <v>39</v>
      </c>
    </row>
    <row r="69" customFormat="false" ht="26.85" hidden="false" customHeight="false" outlineLevel="0" collapsed="false">
      <c r="A69" s="4" t="s">
        <v>264</v>
      </c>
      <c r="B69" s="4" t="n">
        <v>2</v>
      </c>
      <c r="C69" s="4" t="s">
        <v>275</v>
      </c>
      <c r="D69" s="5" t="s">
        <v>277</v>
      </c>
      <c r="E69" s="5" t="s">
        <v>276</v>
      </c>
      <c r="F69" s="4" t="s">
        <v>50</v>
      </c>
      <c r="G69" s="4" t="s">
        <v>69</v>
      </c>
      <c r="H69" s="4" t="s">
        <v>263</v>
      </c>
      <c r="I69" s="4" t="s">
        <v>63</v>
      </c>
      <c r="J69" s="4" t="n">
        <v>41</v>
      </c>
    </row>
    <row r="70" customFormat="false" ht="26.85" hidden="false" customHeight="false" outlineLevel="0" collapsed="false">
      <c r="A70" s="4" t="s">
        <v>264</v>
      </c>
      <c r="B70" s="4" t="n">
        <v>3</v>
      </c>
      <c r="C70" s="4" t="s">
        <v>287</v>
      </c>
      <c r="D70" s="5" t="s">
        <v>289</v>
      </c>
      <c r="E70" s="5" t="s">
        <v>288</v>
      </c>
      <c r="F70" s="4" t="s">
        <v>50</v>
      </c>
      <c r="G70" s="4" t="s">
        <v>159</v>
      </c>
      <c r="H70" s="4" t="s">
        <v>275</v>
      </c>
      <c r="I70" s="4" t="s">
        <v>63</v>
      </c>
      <c r="J70" s="4" t="n">
        <v>43</v>
      </c>
    </row>
    <row r="71" customFormat="false" ht="26.85" hidden="false" customHeight="false" outlineLevel="0" collapsed="false">
      <c r="A71" s="4" t="s">
        <v>264</v>
      </c>
      <c r="B71" s="4" t="n">
        <v>4</v>
      </c>
      <c r="C71" s="4" t="s">
        <v>312</v>
      </c>
      <c r="D71" s="5" t="s">
        <v>314</v>
      </c>
      <c r="E71" s="5" t="s">
        <v>313</v>
      </c>
      <c r="F71" s="4" t="s">
        <v>50</v>
      </c>
      <c r="G71" s="4" t="s">
        <v>51</v>
      </c>
      <c r="H71" s="4" t="s">
        <v>287</v>
      </c>
      <c r="I71" s="4" t="s">
        <v>84</v>
      </c>
      <c r="J71" s="4" t="n">
        <v>47</v>
      </c>
    </row>
    <row r="72" customFormat="false" ht="26.85" hidden="false" customHeight="false" outlineLevel="0" collapsed="false">
      <c r="A72" s="4" t="s">
        <v>264</v>
      </c>
      <c r="B72" s="4" t="n">
        <v>5</v>
      </c>
      <c r="C72" s="4" t="s">
        <v>323</v>
      </c>
      <c r="D72" s="5" t="s">
        <v>325</v>
      </c>
      <c r="E72" s="5" t="s">
        <v>324</v>
      </c>
      <c r="F72" s="4" t="s">
        <v>50</v>
      </c>
      <c r="G72" s="4" t="s">
        <v>69</v>
      </c>
      <c r="H72" s="4" t="s">
        <v>263</v>
      </c>
      <c r="I72" s="4" t="s">
        <v>53</v>
      </c>
      <c r="J72" s="4" t="n">
        <v>49</v>
      </c>
    </row>
    <row r="73" customFormat="false" ht="26.85" hidden="false" customHeight="false" outlineLevel="0" collapsed="false">
      <c r="A73" s="4" t="s">
        <v>264</v>
      </c>
      <c r="B73" s="4" t="n">
        <v>6</v>
      </c>
      <c r="C73" s="4" t="s">
        <v>332</v>
      </c>
      <c r="D73" s="5" t="s">
        <v>334</v>
      </c>
      <c r="E73" s="5" t="s">
        <v>333</v>
      </c>
      <c r="F73" s="4" t="s">
        <v>50</v>
      </c>
      <c r="G73" s="4" t="s">
        <v>69</v>
      </c>
      <c r="H73" s="4" t="s">
        <v>263</v>
      </c>
      <c r="I73" s="4" t="s">
        <v>53</v>
      </c>
      <c r="J73" s="4" t="n">
        <v>51</v>
      </c>
    </row>
    <row r="74" customFormat="false" ht="26.85" hidden="false" customHeight="false" outlineLevel="0" collapsed="false">
      <c r="A74" s="4" t="s">
        <v>264</v>
      </c>
      <c r="B74" s="4" t="n">
        <v>7</v>
      </c>
      <c r="C74" s="4" t="s">
        <v>344</v>
      </c>
      <c r="D74" s="5" t="s">
        <v>346</v>
      </c>
      <c r="E74" s="5" t="s">
        <v>345</v>
      </c>
      <c r="F74" s="4" t="s">
        <v>50</v>
      </c>
      <c r="G74" s="4" t="s">
        <v>69</v>
      </c>
      <c r="H74" s="4" t="s">
        <v>332</v>
      </c>
      <c r="I74" s="4" t="s">
        <v>63</v>
      </c>
      <c r="J74" s="4" t="n">
        <v>53</v>
      </c>
    </row>
    <row r="75" customFormat="false" ht="26.85" hidden="false" customHeight="false" outlineLevel="0" collapsed="false">
      <c r="A75" s="4" t="s">
        <v>264</v>
      </c>
      <c r="B75" s="4" t="n">
        <v>8</v>
      </c>
      <c r="C75" s="4" t="s">
        <v>355</v>
      </c>
      <c r="D75" s="5" t="s">
        <v>357</v>
      </c>
      <c r="E75" s="5" t="s">
        <v>356</v>
      </c>
      <c r="F75" s="4" t="s">
        <v>50</v>
      </c>
      <c r="G75" s="4" t="s">
        <v>69</v>
      </c>
      <c r="H75" s="4" t="s">
        <v>344</v>
      </c>
      <c r="I75" s="4" t="s">
        <v>53</v>
      </c>
      <c r="J75" s="4" t="n">
        <v>55</v>
      </c>
    </row>
    <row r="76" customFormat="false" ht="26.85" hidden="false" customHeight="false" outlineLevel="0" collapsed="false">
      <c r="A76" s="4" t="s">
        <v>264</v>
      </c>
      <c r="B76" s="4" t="n">
        <v>9</v>
      </c>
      <c r="C76" s="4" t="s">
        <v>366</v>
      </c>
      <c r="D76" s="5" t="s">
        <v>368</v>
      </c>
      <c r="E76" s="5" t="s">
        <v>367</v>
      </c>
      <c r="F76" s="4" t="s">
        <v>50</v>
      </c>
      <c r="G76" s="4" t="s">
        <v>69</v>
      </c>
      <c r="H76" s="4" t="s">
        <v>332</v>
      </c>
      <c r="I76" s="4" t="s">
        <v>84</v>
      </c>
      <c r="J76" s="4" t="n">
        <v>57</v>
      </c>
    </row>
    <row r="77" customFormat="false" ht="26.85" hidden="false" customHeight="false" outlineLevel="0" collapsed="false">
      <c r="A77" s="4" t="s">
        <v>264</v>
      </c>
      <c r="B77" s="4" t="n">
        <v>10</v>
      </c>
      <c r="C77" s="4" t="s">
        <v>377</v>
      </c>
      <c r="D77" s="5" t="s">
        <v>379</v>
      </c>
      <c r="E77" s="5" t="s">
        <v>378</v>
      </c>
      <c r="F77" s="4" t="s">
        <v>50</v>
      </c>
      <c r="G77" s="4" t="s">
        <v>69</v>
      </c>
      <c r="H77" s="4" t="s">
        <v>366</v>
      </c>
      <c r="I77" s="4" t="s">
        <v>63</v>
      </c>
      <c r="J77" s="4" t="n">
        <v>59</v>
      </c>
    </row>
    <row r="78" customFormat="false" ht="26.85" hidden="false" customHeight="false" outlineLevel="0" collapsed="false">
      <c r="A78" s="4" t="s">
        <v>264</v>
      </c>
      <c r="B78" s="4" t="n">
        <v>11</v>
      </c>
      <c r="C78" s="4" t="s">
        <v>386</v>
      </c>
      <c r="D78" s="5" t="s">
        <v>388</v>
      </c>
      <c r="E78" s="5" t="s">
        <v>387</v>
      </c>
      <c r="F78" s="4" t="s">
        <v>50</v>
      </c>
      <c r="G78" s="4" t="s">
        <v>159</v>
      </c>
      <c r="H78" s="4" t="s">
        <v>355</v>
      </c>
      <c r="I78" s="4" t="s">
        <v>53</v>
      </c>
      <c r="J78" s="4" t="n">
        <v>61</v>
      </c>
    </row>
    <row r="79" customFormat="false" ht="26.85" hidden="false" customHeight="false" outlineLevel="0" collapsed="false">
      <c r="A79" s="4" t="s">
        <v>264</v>
      </c>
      <c r="B79" s="4" t="n">
        <v>12</v>
      </c>
      <c r="C79" s="4" t="s">
        <v>398</v>
      </c>
      <c r="D79" s="5" t="s">
        <v>400</v>
      </c>
      <c r="E79" s="5" t="s">
        <v>399</v>
      </c>
      <c r="F79" s="4" t="s">
        <v>50</v>
      </c>
      <c r="G79" s="4" t="s">
        <v>69</v>
      </c>
      <c r="H79" s="4" t="s">
        <v>344</v>
      </c>
      <c r="I79" s="4" t="s">
        <v>84</v>
      </c>
      <c r="J79" s="4" t="n">
        <v>63</v>
      </c>
    </row>
    <row r="80" customFormat="false" ht="26.85" hidden="false" customHeight="false" outlineLevel="0" collapsed="false">
      <c r="A80" s="4" t="s">
        <v>264</v>
      </c>
      <c r="B80" s="4" t="n">
        <v>13</v>
      </c>
      <c r="C80" s="4" t="s">
        <v>409</v>
      </c>
      <c r="D80" s="5" t="s">
        <v>411</v>
      </c>
      <c r="E80" s="5" t="s">
        <v>410</v>
      </c>
      <c r="F80" s="4" t="s">
        <v>50</v>
      </c>
      <c r="G80" s="4" t="s">
        <v>159</v>
      </c>
      <c r="H80" s="4" t="s">
        <v>386</v>
      </c>
      <c r="I80" s="4" t="s">
        <v>53</v>
      </c>
      <c r="J80" s="4" t="n">
        <v>65</v>
      </c>
    </row>
    <row r="81" customFormat="false" ht="26.85" hidden="false" customHeight="false" outlineLevel="0" collapsed="false">
      <c r="A81" s="4" t="s">
        <v>264</v>
      </c>
      <c r="B81" s="4" t="n">
        <v>14</v>
      </c>
      <c r="C81" s="4" t="s">
        <v>421</v>
      </c>
      <c r="D81" s="5" t="s">
        <v>423</v>
      </c>
      <c r="E81" s="5" t="s">
        <v>422</v>
      </c>
      <c r="F81" s="4" t="s">
        <v>50</v>
      </c>
      <c r="G81" s="4" t="s">
        <v>159</v>
      </c>
      <c r="H81" s="4" t="s">
        <v>275</v>
      </c>
      <c r="I81" s="4" t="s">
        <v>53</v>
      </c>
      <c r="J81" s="4" t="n">
        <v>67</v>
      </c>
    </row>
    <row r="82" customFormat="false" ht="26.85" hidden="false" customHeight="false" outlineLevel="0" collapsed="false">
      <c r="A82" s="4" t="s">
        <v>264</v>
      </c>
      <c r="B82" s="4" t="n">
        <v>15</v>
      </c>
      <c r="C82" s="4" t="s">
        <v>429</v>
      </c>
      <c r="D82" s="5" t="s">
        <v>431</v>
      </c>
      <c r="E82" s="5" t="s">
        <v>430</v>
      </c>
      <c r="F82" s="4" t="s">
        <v>50</v>
      </c>
      <c r="G82" s="4" t="s">
        <v>69</v>
      </c>
      <c r="H82" s="4" t="s">
        <v>398</v>
      </c>
      <c r="I82" s="4" t="s">
        <v>53</v>
      </c>
      <c r="J82" s="4" t="n">
        <v>69</v>
      </c>
    </row>
    <row r="83" customFormat="false" ht="26.85" hidden="false" customHeight="false" outlineLevel="0" collapsed="false">
      <c r="A83" s="4" t="s">
        <v>264</v>
      </c>
      <c r="B83" s="4" t="n">
        <v>16</v>
      </c>
      <c r="C83" s="4" t="s">
        <v>441</v>
      </c>
      <c r="D83" s="5" t="s">
        <v>443</v>
      </c>
      <c r="E83" s="5" t="s">
        <v>442</v>
      </c>
      <c r="F83" s="4" t="s">
        <v>50</v>
      </c>
      <c r="G83" s="4" t="s">
        <v>51</v>
      </c>
      <c r="H83" s="4" t="s">
        <v>52</v>
      </c>
      <c r="I83" s="4" t="s">
        <v>63</v>
      </c>
      <c r="J83" s="4" t="n">
        <v>71</v>
      </c>
    </row>
    <row r="84" customFormat="false" ht="26.85" hidden="false" customHeight="false" outlineLevel="0" collapsed="false">
      <c r="A84" s="4" t="s">
        <v>264</v>
      </c>
      <c r="B84" s="4" t="n">
        <v>17</v>
      </c>
      <c r="C84" s="4" t="s">
        <v>459</v>
      </c>
      <c r="D84" s="5" t="s">
        <v>461</v>
      </c>
      <c r="E84" s="5" t="s">
        <v>460</v>
      </c>
      <c r="F84" s="4" t="s">
        <v>50</v>
      </c>
      <c r="G84" s="4" t="s">
        <v>51</v>
      </c>
      <c r="H84" s="4" t="s">
        <v>52</v>
      </c>
      <c r="I84" s="4" t="s">
        <v>63</v>
      </c>
      <c r="J84" s="4" t="n">
        <v>74</v>
      </c>
    </row>
    <row r="85" customFormat="false" ht="26.85" hidden="false" customHeight="false" outlineLevel="0" collapsed="false">
      <c r="A85" s="4" t="s">
        <v>264</v>
      </c>
      <c r="B85" s="4" t="n">
        <v>18</v>
      </c>
      <c r="C85" s="4" t="s">
        <v>470</v>
      </c>
      <c r="D85" s="5" t="s">
        <v>472</v>
      </c>
      <c r="E85" s="5" t="s">
        <v>471</v>
      </c>
      <c r="F85" s="4" t="s">
        <v>50</v>
      </c>
      <c r="G85" s="4" t="s">
        <v>159</v>
      </c>
      <c r="H85" s="4" t="s">
        <v>409</v>
      </c>
      <c r="I85" s="4" t="s">
        <v>84</v>
      </c>
      <c r="J85" s="4" t="n">
        <v>76</v>
      </c>
    </row>
    <row r="86" customFormat="false" ht="26.85" hidden="false" customHeight="false" outlineLevel="0" collapsed="false">
      <c r="A86" s="4" t="s">
        <v>264</v>
      </c>
      <c r="B86" s="4" t="n">
        <v>19</v>
      </c>
      <c r="C86" s="4" t="s">
        <v>481</v>
      </c>
      <c r="D86" s="5" t="s">
        <v>483</v>
      </c>
      <c r="E86" s="5" t="s">
        <v>482</v>
      </c>
      <c r="F86" s="4" t="s">
        <v>50</v>
      </c>
      <c r="G86" s="4" t="s">
        <v>69</v>
      </c>
      <c r="H86" s="4" t="s">
        <v>470</v>
      </c>
      <c r="I86" s="4" t="s">
        <v>63</v>
      </c>
      <c r="J86" s="4" t="n">
        <v>78</v>
      </c>
    </row>
    <row r="87" customFormat="false" ht="26.85" hidden="false" customHeight="false" outlineLevel="0" collapsed="false">
      <c r="A87" s="4" t="s">
        <v>264</v>
      </c>
      <c r="B87" s="4" t="n">
        <v>20</v>
      </c>
      <c r="C87" s="4" t="s">
        <v>492</v>
      </c>
      <c r="D87" s="5" t="s">
        <v>494</v>
      </c>
      <c r="E87" s="5" t="s">
        <v>493</v>
      </c>
      <c r="F87" s="4" t="s">
        <v>50</v>
      </c>
      <c r="G87" s="4" t="s">
        <v>159</v>
      </c>
      <c r="H87" s="4" t="s">
        <v>481</v>
      </c>
      <c r="I87" s="4" t="s">
        <v>63</v>
      </c>
      <c r="J87" s="4" t="n">
        <v>80</v>
      </c>
    </row>
    <row r="88" customFormat="false" ht="26.85" hidden="false" customHeight="false" outlineLevel="0" collapsed="false">
      <c r="A88" s="4" t="s">
        <v>264</v>
      </c>
      <c r="B88" s="4" t="n">
        <v>21</v>
      </c>
      <c r="C88" s="4" t="s">
        <v>500</v>
      </c>
      <c r="D88" s="5" t="s">
        <v>502</v>
      </c>
      <c r="E88" s="5" t="s">
        <v>501</v>
      </c>
      <c r="F88" s="4" t="s">
        <v>50</v>
      </c>
      <c r="G88" s="4" t="s">
        <v>69</v>
      </c>
      <c r="H88" s="4" t="s">
        <v>492</v>
      </c>
      <c r="I88" s="4" t="s">
        <v>53</v>
      </c>
      <c r="J88" s="4" t="n">
        <v>82</v>
      </c>
    </row>
    <row r="89" customFormat="false" ht="26.85" hidden="false" customHeight="false" outlineLevel="0" collapsed="false">
      <c r="A89" s="4" t="s">
        <v>264</v>
      </c>
      <c r="B89" s="4" t="n">
        <v>22</v>
      </c>
      <c r="C89" s="4" t="s">
        <v>510</v>
      </c>
      <c r="D89" s="5" t="s">
        <v>512</v>
      </c>
      <c r="E89" s="5" t="s">
        <v>511</v>
      </c>
      <c r="F89" s="4" t="s">
        <v>50</v>
      </c>
      <c r="G89" s="4" t="s">
        <v>69</v>
      </c>
      <c r="H89" s="4" t="s">
        <v>492</v>
      </c>
      <c r="I89" s="4" t="s">
        <v>63</v>
      </c>
      <c r="J89" s="4" t="n">
        <v>84</v>
      </c>
    </row>
    <row r="90" customFormat="false" ht="26.85" hidden="false" customHeight="false" outlineLevel="0" collapsed="false">
      <c r="A90" s="4" t="s">
        <v>264</v>
      </c>
      <c r="B90" s="4" t="n">
        <v>23</v>
      </c>
      <c r="C90" s="4" t="s">
        <v>519</v>
      </c>
      <c r="D90" s="5" t="s">
        <v>521</v>
      </c>
      <c r="E90" s="5" t="s">
        <v>520</v>
      </c>
      <c r="F90" s="4" t="s">
        <v>50</v>
      </c>
      <c r="G90" s="4" t="s">
        <v>69</v>
      </c>
      <c r="H90" s="4" t="s">
        <v>492</v>
      </c>
      <c r="I90" s="4" t="s">
        <v>84</v>
      </c>
      <c r="J90" s="4" t="n">
        <v>86</v>
      </c>
    </row>
    <row r="91" customFormat="false" ht="15" hidden="false" customHeight="false" outlineLevel="0" collapsed="false">
      <c r="A91" s="4" t="s">
        <v>264</v>
      </c>
      <c r="B91" s="4" t="n">
        <v>24</v>
      </c>
      <c r="C91" s="4" t="s">
        <v>529</v>
      </c>
      <c r="D91" s="5" t="s">
        <v>531</v>
      </c>
      <c r="E91" s="5" t="s">
        <v>530</v>
      </c>
      <c r="F91" s="4" t="s">
        <v>50</v>
      </c>
      <c r="G91" s="4" t="s">
        <v>159</v>
      </c>
      <c r="H91" s="4" t="s">
        <v>510</v>
      </c>
      <c r="I91" s="4" t="s">
        <v>53</v>
      </c>
      <c r="J91" s="4" t="n">
        <v>88</v>
      </c>
    </row>
    <row r="92" customFormat="false" ht="26.85" hidden="false" customHeight="false" outlineLevel="0" collapsed="false">
      <c r="A92" s="4" t="s">
        <v>264</v>
      </c>
      <c r="B92" s="4" t="n">
        <v>25</v>
      </c>
      <c r="C92" s="4" t="s">
        <v>541</v>
      </c>
      <c r="D92" s="5" t="s">
        <v>543</v>
      </c>
      <c r="E92" s="5" t="s">
        <v>542</v>
      </c>
      <c r="F92" s="4" t="s">
        <v>50</v>
      </c>
      <c r="G92" s="4" t="s">
        <v>69</v>
      </c>
      <c r="H92" s="4" t="s">
        <v>492</v>
      </c>
      <c r="I92" s="4" t="s">
        <v>63</v>
      </c>
      <c r="J92" s="4" t="n">
        <v>90</v>
      </c>
    </row>
    <row r="93" customFormat="false" ht="15" hidden="false" customHeight="false" outlineLevel="0" collapsed="false">
      <c r="A93" s="4" t="s">
        <v>264</v>
      </c>
      <c r="B93" s="4" t="n">
        <v>26</v>
      </c>
      <c r="C93" s="4" t="s">
        <v>552</v>
      </c>
      <c r="D93" s="5" t="s">
        <v>554</v>
      </c>
      <c r="E93" s="5" t="s">
        <v>553</v>
      </c>
      <c r="F93" s="4" t="s">
        <v>50</v>
      </c>
      <c r="G93" s="4" t="s">
        <v>69</v>
      </c>
      <c r="H93" s="4" t="s">
        <v>555</v>
      </c>
      <c r="I93" s="4" t="s">
        <v>63</v>
      </c>
      <c r="J93" s="4" t="n">
        <v>92</v>
      </c>
    </row>
    <row r="94" customFormat="false" ht="26.85" hidden="false" customHeight="false" outlineLevel="0" collapsed="false">
      <c r="A94" s="4" t="s">
        <v>264</v>
      </c>
      <c r="B94" s="4" t="n">
        <v>27</v>
      </c>
      <c r="C94" s="4" t="s">
        <v>563</v>
      </c>
      <c r="D94" s="5" t="s">
        <v>565</v>
      </c>
      <c r="E94" s="5" t="s">
        <v>564</v>
      </c>
      <c r="F94" s="4" t="s">
        <v>50</v>
      </c>
      <c r="G94" s="4" t="s">
        <v>159</v>
      </c>
      <c r="H94" s="4" t="s">
        <v>566</v>
      </c>
      <c r="I94" s="4" t="s">
        <v>53</v>
      </c>
      <c r="J94" s="4" t="n">
        <v>94</v>
      </c>
    </row>
    <row r="95" customFormat="false" ht="26.85" hidden="false" customHeight="false" outlineLevel="0" collapsed="false">
      <c r="A95" s="4" t="s">
        <v>264</v>
      </c>
      <c r="B95" s="4" t="n">
        <v>28</v>
      </c>
      <c r="C95" s="4" t="s">
        <v>572</v>
      </c>
      <c r="D95" s="5" t="s">
        <v>574</v>
      </c>
      <c r="E95" s="5" t="s">
        <v>573</v>
      </c>
      <c r="F95" s="4" t="s">
        <v>50</v>
      </c>
      <c r="G95" s="4" t="s">
        <v>69</v>
      </c>
      <c r="H95" s="4" t="s">
        <v>563</v>
      </c>
      <c r="I95" s="4" t="s">
        <v>63</v>
      </c>
      <c r="J95" s="4" t="n">
        <v>96</v>
      </c>
    </row>
    <row r="96" customFormat="false" ht="15" hidden="false" customHeight="false" outlineLevel="0" collapsed="false">
      <c r="A96" s="4" t="s">
        <v>264</v>
      </c>
      <c r="B96" s="4" t="n">
        <v>29</v>
      </c>
      <c r="C96" s="4" t="s">
        <v>580</v>
      </c>
      <c r="D96" s="5" t="s">
        <v>582</v>
      </c>
      <c r="E96" s="5" t="s">
        <v>581</v>
      </c>
      <c r="F96" s="4" t="s">
        <v>50</v>
      </c>
      <c r="G96" s="4" t="s">
        <v>159</v>
      </c>
      <c r="H96" s="4" t="s">
        <v>583</v>
      </c>
      <c r="I96" s="4" t="s">
        <v>53</v>
      </c>
      <c r="J96" s="4" t="n">
        <v>98</v>
      </c>
    </row>
    <row r="97" customFormat="false" ht="26.85" hidden="false" customHeight="false" outlineLevel="0" collapsed="false">
      <c r="A97" s="4" t="s">
        <v>264</v>
      </c>
      <c r="B97" s="4" t="n">
        <v>30</v>
      </c>
      <c r="C97" s="4" t="s">
        <v>586</v>
      </c>
      <c r="D97" s="5" t="s">
        <v>588</v>
      </c>
      <c r="E97" s="5" t="s">
        <v>587</v>
      </c>
      <c r="F97" s="4" t="s">
        <v>50</v>
      </c>
      <c r="G97" s="4" t="s">
        <v>159</v>
      </c>
      <c r="H97" s="4" t="s">
        <v>563</v>
      </c>
      <c r="I97" s="4" t="s">
        <v>53</v>
      </c>
      <c r="J97" s="4" t="n">
        <v>99</v>
      </c>
    </row>
    <row r="98" customFormat="false" ht="15" hidden="false" customHeight="false" outlineLevel="0" collapsed="false">
      <c r="A98" s="4" t="s">
        <v>264</v>
      </c>
      <c r="B98" s="4" t="n">
        <v>31</v>
      </c>
      <c r="C98" s="4" t="s">
        <v>591</v>
      </c>
      <c r="D98" s="5" t="s">
        <v>593</v>
      </c>
      <c r="E98" s="5" t="s">
        <v>592</v>
      </c>
      <c r="F98" s="4" t="s">
        <v>187</v>
      </c>
      <c r="G98" s="4" t="s">
        <v>259</v>
      </c>
      <c r="H98" s="4" t="s">
        <v>594</v>
      </c>
      <c r="I98" s="4" t="s">
        <v>63</v>
      </c>
      <c r="J98" s="4" t="n">
        <v>100</v>
      </c>
    </row>
    <row r="99" customFormat="false" ht="15" hidden="false" customHeight="false" outlineLevel="0" collapsed="false">
      <c r="A99" s="4" t="s">
        <v>294</v>
      </c>
      <c r="B99" s="4" t="n">
        <v>1</v>
      </c>
      <c r="C99" s="4" t="s">
        <v>305</v>
      </c>
      <c r="D99" s="5" t="s">
        <v>307</v>
      </c>
      <c r="E99" s="5" t="s">
        <v>306</v>
      </c>
      <c r="F99" s="4" t="s">
        <v>308</v>
      </c>
      <c r="G99" s="4" t="s">
        <v>159</v>
      </c>
      <c r="H99" s="4" t="s">
        <v>299</v>
      </c>
      <c r="I99" s="4" t="s">
        <v>53</v>
      </c>
      <c r="J99" s="4" t="n">
        <v>46</v>
      </c>
    </row>
    <row r="100" customFormat="false" ht="26.85" hidden="false" customHeight="false" outlineLevel="0" collapsed="false">
      <c r="A100" s="4" t="s">
        <v>294</v>
      </c>
      <c r="B100" s="4" t="n">
        <v>2</v>
      </c>
      <c r="C100" s="4" t="s">
        <v>453</v>
      </c>
      <c r="D100" s="5" t="s">
        <v>455</v>
      </c>
      <c r="E100" s="5" t="s">
        <v>454</v>
      </c>
      <c r="F100" s="4" t="s">
        <v>297</v>
      </c>
      <c r="G100" s="4" t="s">
        <v>298</v>
      </c>
      <c r="H100" s="4" t="s">
        <v>446</v>
      </c>
      <c r="I100" s="4" t="s">
        <v>53</v>
      </c>
      <c r="J100" s="4" t="n">
        <v>73</v>
      </c>
    </row>
    <row r="101" customFormat="false" ht="26.85" hidden="false" customHeight="false" outlineLevel="0" collapsed="false">
      <c r="A101" s="4" t="s">
        <v>294</v>
      </c>
      <c r="B101" s="4" t="n">
        <v>3</v>
      </c>
      <c r="C101" s="4" t="s">
        <v>293</v>
      </c>
      <c r="D101" s="5" t="s">
        <v>296</v>
      </c>
      <c r="E101" s="5" t="s">
        <v>295</v>
      </c>
      <c r="F101" s="4" t="s">
        <v>297</v>
      </c>
      <c r="G101" s="4" t="s">
        <v>298</v>
      </c>
      <c r="H101" s="4" t="s">
        <v>287</v>
      </c>
      <c r="I101" s="4" t="s">
        <v>63</v>
      </c>
      <c r="J101" s="4" t="n">
        <v>44</v>
      </c>
    </row>
  </sheetData>
  <autoFilter ref="A1:J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2"/>
    <col collapsed="false" customWidth="true" hidden="false" outlineLevel="0" max="4" min="4" style="0" width="26"/>
    <col collapsed="false" customWidth="true" hidden="false" outlineLevel="0" max="6" min="5" style="0" width="10"/>
    <col collapsed="false" customWidth="true" hidden="false" outlineLevel="0" max="7" min="7" style="0" width="2"/>
    <col collapsed="false" customWidth="true" hidden="false" outlineLevel="0" max="8" min="8" style="0" width="18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3" t="s">
        <v>711</v>
      </c>
    </row>
    <row r="3" customFormat="false" ht="15" hidden="false" customHeight="false" outlineLevel="0" collapsed="false">
      <c r="A3" s="14" t="s">
        <v>712</v>
      </c>
      <c r="D3" s="14" t="s">
        <v>713</v>
      </c>
      <c r="E3" s="14" t="s">
        <v>714</v>
      </c>
      <c r="F3" s="14" t="s">
        <v>715</v>
      </c>
      <c r="H3" s="14" t="s">
        <v>716</v>
      </c>
      <c r="I3" s="14" t="s">
        <v>714</v>
      </c>
    </row>
    <row r="4" customFormat="false" ht="15" hidden="false" customHeight="false" outlineLevel="0" collapsed="false">
      <c r="A4" s="4" t="s">
        <v>57</v>
      </c>
      <c r="B4" s="4" t="n">
        <f aca="false">COUNTIF(Backlog!$X$2:$X$101,A4)</f>
        <v>100</v>
      </c>
      <c r="D4" s="4" t="s">
        <v>47</v>
      </c>
      <c r="E4" s="4" t="n">
        <f aca="false">COUNTIF(Backlog!$D$2:$D$101,D4)</f>
        <v>36</v>
      </c>
      <c r="F4" s="4" t="n">
        <f aca="false">COUNTIFS(Backlog!$D$2:$D$101,D4,Backlog!$X$2:$X$101,"Published")</f>
        <v>0</v>
      </c>
      <c r="H4" s="4" t="s">
        <v>53</v>
      </c>
      <c r="I4" s="4" t="n">
        <f aca="false">COUNTIF(Backlog!$K$2:$K$101,H4)</f>
        <v>29</v>
      </c>
    </row>
    <row r="5" customFormat="false" ht="15" hidden="false" customHeight="false" outlineLevel="0" collapsed="false">
      <c r="A5" s="4" t="s">
        <v>717</v>
      </c>
      <c r="B5" s="4" t="n">
        <f aca="false">COUNTIF(Backlog!$X$2:$X$101,A5)</f>
        <v>0</v>
      </c>
      <c r="D5" s="4" t="s">
        <v>59</v>
      </c>
      <c r="E5" s="4" t="n">
        <f aca="false">COUNTIF(Backlog!$D$2:$D$101,D5)</f>
        <v>30</v>
      </c>
      <c r="F5" s="4" t="n">
        <f aca="false">COUNTIFS(Backlog!$D$2:$D$101,D5,Backlog!$X$2:$X$101,"Published")</f>
        <v>0</v>
      </c>
      <c r="H5" s="4" t="s">
        <v>63</v>
      </c>
      <c r="I5" s="4" t="n">
        <f aca="false">COUNTIF(Backlog!$K$2:$K$101,H5)</f>
        <v>49</v>
      </c>
    </row>
    <row r="6" customFormat="false" ht="15" hidden="false" customHeight="false" outlineLevel="0" collapsed="false">
      <c r="A6" s="4" t="s">
        <v>718</v>
      </c>
      <c r="B6" s="4" t="n">
        <f aca="false">COUNTIF(Backlog!$X$2:$X$101,A6)</f>
        <v>0</v>
      </c>
      <c r="D6" s="4" t="s">
        <v>264</v>
      </c>
      <c r="E6" s="4" t="n">
        <f aca="false">COUNTIF(Backlog!$D$2:$D$101,D6)</f>
        <v>31</v>
      </c>
      <c r="F6" s="4" t="n">
        <f aca="false">COUNTIFS(Backlog!$D$2:$D$101,D6,Backlog!$X$2:$X$101,"Published")</f>
        <v>0</v>
      </c>
      <c r="H6" s="4" t="s">
        <v>84</v>
      </c>
      <c r="I6" s="4" t="n">
        <f aca="false">COUNTIF(Backlog!$K$2:$K$101,H6)</f>
        <v>22</v>
      </c>
    </row>
    <row r="7" customFormat="false" ht="15" hidden="false" customHeight="false" outlineLevel="0" collapsed="false">
      <c r="A7" s="4" t="s">
        <v>719</v>
      </c>
      <c r="B7" s="4" t="n">
        <f aca="false">COUNTIF(Backlog!$X$2:$X$101,A7)</f>
        <v>0</v>
      </c>
      <c r="D7" s="4" t="s">
        <v>294</v>
      </c>
      <c r="E7" s="4" t="n">
        <f aca="false">COUNTIF(Backlog!$D$2:$D$101,D7)</f>
        <v>3</v>
      </c>
      <c r="F7" s="4" t="n">
        <f aca="false">COUNTIFS(Backlog!$D$2:$D$101,D7,Backlog!$X$2:$X$101,"Published")</f>
        <v>0</v>
      </c>
    </row>
    <row r="8" customFormat="false" ht="15" hidden="false" customHeight="false" outlineLevel="0" collapsed="false">
      <c r="A8" s="4" t="s">
        <v>715</v>
      </c>
      <c r="B8" s="4" t="n">
        <f aca="false">COUNTIF(Backlog!$X$2:$X$101,A8)</f>
        <v>0</v>
      </c>
    </row>
    <row r="9" customFormat="false" ht="15" hidden="false" customHeight="false" outlineLevel="0" collapsed="false">
      <c r="A9" s="14" t="s">
        <v>720</v>
      </c>
      <c r="B9" s="14" t="n">
        <f aca="false">SUM(B4:B8)</f>
        <v>100</v>
      </c>
    </row>
    <row r="12" customFormat="false" ht="15" hidden="false" customHeight="false" outlineLevel="0" collapsed="false">
      <c r="A12" s="14" t="s">
        <v>721</v>
      </c>
    </row>
    <row r="13" customFormat="false" ht="15" hidden="false" customHeight="false" outlineLevel="0" collapsed="false">
      <c r="A13" s="4" t="str">
        <f aca="false">IFERROR(INDEX(Backlog!$C$2:$C$101,MATCH(1,Backlog!$AA$2:$AA$101,0)),"")</f>
        <v>LA-01</v>
      </c>
      <c r="B13" s="4" t="str">
        <f aca="false">IFERROR(INDEX(Backlog!$G$2:$G$101,MATCH(1,Backlog!$AA$2:$AA$101,0)),"")</f>
        <v>What a system of linear equations really is (and why 3 pictures beat 3 formulas)</v>
      </c>
    </row>
    <row r="14" customFormat="false" ht="15" hidden="false" customHeight="false" outlineLevel="0" collapsed="false">
      <c r="A14" s="4" t="str">
        <f aca="false">IFERROR(INDEX(Backlog!$C$2:$C$101,MATCH(2,Backlog!$AA$2:$AA$101,0)),"")</f>
        <v>DE-01</v>
      </c>
      <c r="B14" s="4" t="str">
        <f aca="false">IFERROR(INDEX(Backlog!$G$2:$G$101,MATCH(2,Backlog!$AA$2:$AA$101,0)),"")</f>
        <v>What is a differential equation? (and why physics is written in them)</v>
      </c>
    </row>
    <row r="15" customFormat="false" ht="15" hidden="false" customHeight="false" outlineLevel="0" collapsed="false">
      <c r="A15" s="4" t="str">
        <f aca="false">IFERROR(INDEX(Backlog!$C$2:$C$101,MATCH(3,Backlog!$AA$2:$AA$101,0)),"")</f>
        <v>LA-02</v>
      </c>
      <c r="B15" s="4" t="str">
        <f aca="false">IFERROR(INDEX(Backlog!$G$2:$G$101,MATCH(3,Backlog!$AA$2:$AA$101,0)),"")</f>
        <v>Gaussian elimination: the algorithm, visualised row by row</v>
      </c>
    </row>
    <row r="16" customFormat="false" ht="15" hidden="false" customHeight="false" outlineLevel="0" collapsed="false">
      <c r="A16" s="4" t="str">
        <f aca="false">IFERROR(INDEX(Backlog!$C$2:$C$101,MATCH(4,Backlog!$AA$2:$AA$101,0)),"")</f>
        <v>DE-02</v>
      </c>
      <c r="B16" s="4" t="str">
        <f aca="false">IFERROR(INDEX(Backlog!$G$2:$G$101,MATCH(4,Backlog!$AA$2:$AA$101,0)),"")</f>
        <v>Slope fields: seeing every solution at once</v>
      </c>
    </row>
    <row r="17" customFormat="false" ht="15" hidden="false" customHeight="false" outlineLevel="0" collapsed="false">
      <c r="A17" s="4" t="str">
        <f aca="false">IFERROR(INDEX(Backlog!$C$2:$C$101,MATCH(5,Backlog!$AA$2:$AA$101,0)),"")</f>
        <v>LA-03</v>
      </c>
      <c r="B17" s="4" t="str">
        <f aca="false">IFERROR(INDEX(Backlog!$G$2:$G$101,MATCH(5,Backlog!$AA$2:$AA$101,0)),"")</f>
        <v>Row echelon form explained: what the zeros are telling you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2026-10-22T17:58:46Z</dcterms:created>
  <dc:creator>openpyxl</dc:creator>
  <dc:description/>
  <dc:language>en-US</dc:language>
  <cp:lastModifiedBy/>
  <dcterms:modified xsi:type="dcterms:W3CDTF">2026-10-22T17:58:46Z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